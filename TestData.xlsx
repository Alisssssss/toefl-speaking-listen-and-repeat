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608"/>
  <workbookPr defaultThemeVersion="124226"/>
  <mc:AlternateContent xmlns:mc="http://schemas.openxmlformats.org/markup-compatibility/2006">
    <mc:Choice Requires="x15">
      <x15ac:absPath xmlns:x15ac="http://schemas.microsoft.com/office/spreadsheetml/2010/11/ac" url="/Users/coo/Desktop/LR/"/>
    </mc:Choice>
  </mc:AlternateContent>
  <xr:revisionPtr revIDLastSave="0" documentId="13_ncr:1_{4BC68144-01D9-4940-AF39-397CF7F79D8F}" xr6:coauthVersionLast="47" xr6:coauthVersionMax="47" xr10:uidLastSave="{00000000-0000-0000-0000-000000000000}"/>
  <bookViews>
    <workbookView xWindow="0" yWindow="760" windowWidth="29400" windowHeight="18360" xr2:uid="{00000000-000D-0000-FFFF-FFFF00000000}"/>
  </bookViews>
  <sheets>
    <sheet name="Sheet1" sheetId="1" r:id="rId1"/>
  </sheets>
  <definedNames>
    <definedName name="_xlnm._FilterDatabase" localSheetId="0" hidden="1">Sheet1!$A$1:$L$15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20" i="1" l="1"/>
  <c r="H119" i="1"/>
  <c r="H118" i="1"/>
  <c r="H117" i="1"/>
  <c r="H116" i="1"/>
  <c r="H115" i="1"/>
  <c r="H114" i="1"/>
  <c r="H113" i="1"/>
  <c r="H112" i="1"/>
  <c r="H111" i="1"/>
  <c r="H110" i="1"/>
  <c r="H109" i="1"/>
  <c r="H108" i="1"/>
  <c r="H107" i="1"/>
  <c r="H106" i="1"/>
  <c r="H105" i="1"/>
  <c r="H104" i="1"/>
  <c r="H103" i="1"/>
  <c r="H102" i="1"/>
  <c r="H101" i="1"/>
  <c r="H100" i="1"/>
  <c r="H99" i="1"/>
  <c r="H98" i="1"/>
  <c r="H97" i="1"/>
  <c r="H96" i="1"/>
  <c r="H95" i="1"/>
  <c r="H94" i="1"/>
  <c r="H93" i="1"/>
  <c r="G120" i="1"/>
  <c r="G119" i="1"/>
  <c r="G118" i="1"/>
  <c r="G117" i="1"/>
  <c r="G116" i="1"/>
  <c r="G115" i="1"/>
  <c r="G114" i="1"/>
  <c r="G113" i="1"/>
  <c r="G112" i="1"/>
  <c r="G111" i="1"/>
  <c r="G110" i="1"/>
  <c r="G109" i="1"/>
  <c r="G108" i="1"/>
  <c r="G107" i="1"/>
  <c r="G106" i="1"/>
  <c r="G105" i="1"/>
  <c r="G104" i="1"/>
  <c r="G103" i="1"/>
  <c r="G102" i="1"/>
  <c r="G101" i="1"/>
  <c r="G100" i="1"/>
  <c r="G99" i="1"/>
  <c r="G98" i="1"/>
  <c r="G97" i="1"/>
  <c r="G96" i="1"/>
  <c r="G95" i="1"/>
  <c r="G94" i="1"/>
  <c r="G93" i="1"/>
  <c r="D93" i="1" a="1"/>
  <c r="D93" i="1" s="1"/>
  <c r="D94" i="1" a="1"/>
  <c r="D94" i="1" s="1"/>
  <c r="D95" i="1" a="1"/>
  <c r="D95" i="1" s="1"/>
  <c r="D96" i="1" a="1"/>
  <c r="D96" i="1" s="1"/>
  <c r="D97" i="1" a="1"/>
  <c r="D97" i="1" s="1"/>
  <c r="D98" i="1" a="1"/>
  <c r="D98" i="1" s="1"/>
  <c r="D99" i="1" a="1"/>
  <c r="D99" i="1" s="1"/>
  <c r="D100" i="1" a="1"/>
  <c r="D100" i="1" s="1"/>
  <c r="D101" i="1" a="1"/>
  <c r="D101" i="1" s="1"/>
  <c r="D102" i="1" a="1"/>
  <c r="D102" i="1" s="1"/>
  <c r="D103" i="1" a="1"/>
  <c r="D103" i="1" s="1"/>
  <c r="D104" i="1" a="1"/>
  <c r="D104" i="1" s="1"/>
  <c r="D105" i="1" a="1"/>
  <c r="D105" i="1" s="1"/>
  <c r="D106" i="1" a="1"/>
  <c r="D106" i="1" s="1"/>
  <c r="D107" i="1" a="1"/>
  <c r="D107" i="1" s="1"/>
  <c r="D108" i="1" a="1"/>
  <c r="D108" i="1" s="1"/>
  <c r="D109" i="1" a="1"/>
  <c r="D109" i="1" s="1"/>
  <c r="D110" i="1" a="1"/>
  <c r="D110" i="1" s="1"/>
  <c r="D111" i="1" a="1"/>
  <c r="D111" i="1" s="1"/>
  <c r="D112" i="1" a="1"/>
  <c r="D112" i="1" s="1"/>
  <c r="D113" i="1" a="1"/>
  <c r="D113" i="1" s="1"/>
  <c r="D114" i="1" a="1"/>
  <c r="D114" i="1" s="1"/>
  <c r="D115" i="1" a="1"/>
  <c r="D115" i="1" s="1"/>
  <c r="D116" i="1" a="1"/>
  <c r="D116" i="1" s="1"/>
  <c r="D117" i="1" a="1"/>
  <c r="D117" i="1" s="1"/>
  <c r="D118" i="1" a="1"/>
  <c r="D118" i="1" s="1"/>
  <c r="D119" i="1" a="1"/>
  <c r="D119" i="1" s="1"/>
  <c r="D120" i="1" a="1"/>
  <c r="D120" i="1" s="1"/>
  <c r="D92" i="1" a="1"/>
  <c r="D92" i="1" s="1"/>
  <c r="D91" i="1" a="1"/>
  <c r="D91" i="1" s="1"/>
  <c r="D90" i="1"/>
  <c r="D90" i="1" a="1"/>
  <c r="D89" i="1" a="1"/>
  <c r="D89" i="1" s="1"/>
  <c r="D88" i="1"/>
  <c r="D88" i="1" a="1"/>
  <c r="D87" i="1" a="1"/>
  <c r="D87" i="1" s="1"/>
  <c r="D86" i="1" a="1"/>
  <c r="D86" i="1" s="1"/>
  <c r="D85" i="1" a="1"/>
  <c r="D85" i="1" s="1"/>
  <c r="D84" i="1" a="1"/>
  <c r="D84" i="1" s="1"/>
  <c r="D83" i="1"/>
  <c r="D83" i="1" a="1"/>
  <c r="D82" i="1" a="1"/>
  <c r="D82" i="1" s="1"/>
  <c r="D81" i="1" a="1"/>
  <c r="D81" i="1" s="1"/>
  <c r="D80" i="1" a="1"/>
  <c r="D80" i="1" s="1"/>
  <c r="D79" i="1" a="1"/>
  <c r="D79" i="1" s="1"/>
  <c r="D78" i="1"/>
  <c r="D78" i="1" a="1"/>
  <c r="D77" i="1" a="1"/>
  <c r="D77" i="1" s="1"/>
  <c r="D76" i="1" a="1"/>
  <c r="D76" i="1" s="1"/>
  <c r="D75" i="1" a="1"/>
  <c r="D75" i="1" s="1"/>
  <c r="D74" i="1" a="1"/>
  <c r="D74" i="1" s="1"/>
  <c r="D73" i="1"/>
  <c r="D73" i="1" a="1"/>
  <c r="D72" i="1" a="1"/>
  <c r="D72" i="1" s="1"/>
  <c r="D71" i="1" a="1"/>
  <c r="D71" i="1" s="1"/>
  <c r="D70" i="1" a="1"/>
  <c r="D70" i="1" s="1"/>
  <c r="D69" i="1" a="1"/>
  <c r="D69" i="1" s="1"/>
  <c r="D68" i="1"/>
  <c r="D68" i="1" a="1"/>
  <c r="D67" i="1" a="1"/>
  <c r="D67" i="1" s="1"/>
  <c r="D66" i="1" a="1"/>
  <c r="D66" i="1" s="1"/>
  <c r="D65" i="1" a="1"/>
  <c r="D65" i="1" s="1"/>
  <c r="D64" i="1" a="1"/>
  <c r="D64" i="1" s="1"/>
  <c r="D63" i="1"/>
  <c r="D63" i="1" a="1"/>
  <c r="D62" i="1" a="1"/>
  <c r="D62" i="1" s="1"/>
  <c r="D61" i="1" a="1"/>
  <c r="D61" i="1" s="1"/>
  <c r="D60" i="1" a="1"/>
  <c r="D60" i="1" s="1"/>
  <c r="D59" i="1" a="1"/>
  <c r="D59" i="1" s="1"/>
  <c r="D58" i="1"/>
  <c r="D58" i="1" a="1"/>
  <c r="D57" i="1" a="1"/>
  <c r="D57" i="1" s="1"/>
  <c r="D56" i="1" a="1"/>
  <c r="D56" i="1" s="1"/>
  <c r="D55" i="1" a="1"/>
  <c r="D55" i="1" s="1"/>
  <c r="D54" i="1" a="1"/>
  <c r="D54" i="1" s="1"/>
  <c r="D53" i="1"/>
  <c r="D53" i="1" a="1"/>
  <c r="D52" i="1" a="1"/>
  <c r="D52" i="1" s="1"/>
  <c r="D51" i="1" a="1"/>
  <c r="D51" i="1" s="1"/>
  <c r="D50" i="1" a="1"/>
  <c r="D50" i="1" s="1"/>
  <c r="D49" i="1" a="1"/>
  <c r="D49" i="1" s="1"/>
  <c r="D48" i="1"/>
  <c r="D48" i="1" a="1"/>
  <c r="D47" i="1" a="1"/>
  <c r="D47" i="1" s="1"/>
  <c r="D46" i="1" a="1"/>
  <c r="D46" i="1" s="1"/>
  <c r="D45" i="1" a="1"/>
  <c r="D45" i="1" s="1"/>
  <c r="D44" i="1" a="1"/>
  <c r="D44" i="1" s="1"/>
  <c r="D43" i="1"/>
  <c r="D43" i="1" a="1"/>
  <c r="D42" i="1" a="1"/>
  <c r="D42" i="1" s="1"/>
  <c r="D41" i="1" a="1"/>
  <c r="D41" i="1" s="1"/>
  <c r="D40" i="1" a="1"/>
  <c r="D40" i="1" s="1"/>
  <c r="D39" i="1" a="1"/>
  <c r="D39" i="1" s="1"/>
  <c r="D38" i="1"/>
  <c r="D38" i="1" a="1"/>
  <c r="D37" i="1" a="1"/>
  <c r="D37" i="1" s="1"/>
  <c r="D36" i="1" a="1"/>
  <c r="D36" i="1" s="1"/>
  <c r="D35" i="1" a="1"/>
  <c r="D35" i="1" s="1"/>
  <c r="D34" i="1" a="1"/>
  <c r="D34" i="1" s="1"/>
  <c r="D33" i="1" a="1"/>
  <c r="D33" i="1" s="1"/>
  <c r="D32" i="1" a="1"/>
  <c r="D32" i="1" s="1"/>
  <c r="D31" i="1" a="1"/>
  <c r="D31" i="1" s="1"/>
  <c r="D30" i="1" a="1"/>
  <c r="D30" i="1" s="1"/>
  <c r="D29" i="1" a="1"/>
  <c r="D29" i="1" s="1"/>
  <c r="D28" i="1" a="1"/>
  <c r="D28" i="1" s="1"/>
  <c r="D27" i="1" a="1"/>
  <c r="D27" i="1" s="1"/>
  <c r="D26" i="1" a="1"/>
  <c r="D26" i="1" s="1"/>
  <c r="D25" i="1" a="1"/>
  <c r="D25" i="1" s="1"/>
  <c r="D24" i="1" a="1"/>
  <c r="D24" i="1" s="1"/>
  <c r="D23" i="1" a="1"/>
  <c r="D23" i="1" s="1"/>
  <c r="D22" i="1" a="1"/>
  <c r="D22" i="1" s="1"/>
  <c r="D21" i="1" a="1"/>
  <c r="D21" i="1" s="1"/>
  <c r="D20" i="1" a="1"/>
  <c r="D20" i="1" s="1"/>
  <c r="D19" i="1" a="1"/>
  <c r="D19" i="1" s="1"/>
  <c r="D18" i="1" a="1"/>
  <c r="D18" i="1" s="1"/>
  <c r="D17" i="1" a="1"/>
  <c r="D17" i="1" s="1"/>
  <c r="D16" i="1" a="1"/>
  <c r="D16" i="1" s="1"/>
  <c r="D13" i="1" a="1"/>
  <c r="D13" i="1" s="1"/>
  <c r="D14" i="1" a="1"/>
  <c r="D14" i="1" s="1"/>
  <c r="D15" i="1" a="1"/>
  <c r="D15" i="1" s="1"/>
  <c r="D3" i="1" a="1"/>
  <c r="D3" i="1" s="1"/>
  <c r="D4" i="1" a="1"/>
  <c r="D4" i="1" s="1"/>
  <c r="D5" i="1" a="1"/>
  <c r="D5" i="1" s="1"/>
  <c r="D6" i="1" a="1"/>
  <c r="D6" i="1" s="1"/>
  <c r="D7" i="1" a="1"/>
  <c r="D7" i="1" s="1"/>
  <c r="D8" i="1" a="1"/>
  <c r="D8" i="1" s="1"/>
  <c r="D9" i="1" a="1"/>
  <c r="D9" i="1" s="1"/>
  <c r="D10" i="1" a="1"/>
  <c r="D10" i="1" s="1"/>
  <c r="D11" i="1" a="1"/>
  <c r="D11" i="1" s="1"/>
  <c r="D12" i="1" a="1"/>
  <c r="D12" i="1" s="1"/>
  <c r="D2" i="1" a="1"/>
  <c r="D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<sst xmlns="http://schemas.openxmlformats.org/spreadsheetml/2006/main" count="789" uniqueCount="370">
  <si>
    <t>Date</t>
  </si>
  <si>
    <t>Set</t>
  </si>
  <si>
    <t>#</t>
  </si>
  <si>
    <t>Scene</t>
  </si>
  <si>
    <t>Prompt</t>
  </si>
  <si>
    <t>Type</t>
  </si>
  <si>
    <t>Length</t>
  </si>
  <si>
    <t>Difficulty</t>
  </si>
  <si>
    <t>zoo</t>
  </si>
  <si>
    <t>campus gym</t>
  </si>
  <si>
    <t xml:space="preserve">You are learning to welcome visitors to the zoo. Listen to your manager and repeat what she says. </t>
  </si>
  <si>
    <t xml:space="preserve">You are learning how to guide new students through the campus gym. </t>
  </si>
  <si>
    <t>We have a variety of wildlife.</t>
  </si>
  <si>
    <t>Bears, wolves, and large cats are to the right.</t>
  </si>
  <si>
    <t>You can find sea lions and elephants further down the path.</t>
  </si>
  <si>
    <t>Please, no outside food or drinks, and do not feed the animals.</t>
  </si>
  <si>
    <t>Avoid banging or tapping on the displays and enclosures.</t>
  </si>
  <si>
    <t>For those with children, we offer summer camps and educational opportunities.</t>
  </si>
  <si>
    <t>The visitor's center, located near the front entrance, can give you more information.</t>
  </si>
  <si>
    <t>Welcome to our campus gym.</t>
  </si>
  <si>
    <t>Cardio machines are near the entrance.</t>
  </si>
  <si>
    <t>Free weights are in the back.</t>
  </si>
  <si>
    <t>All of our locker rooms are equipped with showers and towels.</t>
  </si>
  <si>
    <t>Our fitness instructors hold exercise classes over here.</t>
  </si>
  <si>
    <t>You can check the schedule for available classes and timings.</t>
  </si>
  <si>
    <t>If you have any questions, please seek assistance from the attendants at the help desk.</t>
  </si>
  <si>
    <t>simple</t>
  </si>
  <si>
    <t>imperative</t>
  </si>
  <si>
    <t>non-finite clause</t>
  </si>
  <si>
    <t>adverbial clause</t>
  </si>
  <si>
    <t>Picture</t>
  </si>
  <si>
    <t>S001-01.png</t>
  </si>
  <si>
    <t>S001-02.png</t>
  </si>
  <si>
    <t>Script</t>
  </si>
  <si>
    <t>Audio</t>
  </si>
  <si>
    <t>S001-01.mp3</t>
  </si>
  <si>
    <t>S001-02.mp3</t>
  </si>
  <si>
    <t>S001-03.mp3</t>
  </si>
  <si>
    <t>S001-04.mp3</t>
  </si>
  <si>
    <t>S001-05.mp3</t>
  </si>
  <si>
    <t>S001-06.mp3</t>
  </si>
  <si>
    <t>S001-07.mp3</t>
  </si>
  <si>
    <t>001</t>
  </si>
  <si>
    <t>002</t>
  </si>
  <si>
    <t>Time/s</t>
  </si>
  <si>
    <t>S001-03.png</t>
  </si>
  <si>
    <t>S001-04.png</t>
  </si>
  <si>
    <t>S001-05.png</t>
  </si>
  <si>
    <t>S001-06.png</t>
  </si>
  <si>
    <t>S001-07.png</t>
  </si>
  <si>
    <t>S002-01.mp3</t>
  </si>
  <si>
    <t>S002-02.mp3</t>
  </si>
  <si>
    <t>S002-03.mp3</t>
  </si>
  <si>
    <t>S002-04.mp3</t>
  </si>
  <si>
    <t>S002-05.mp3</t>
  </si>
  <si>
    <t>S002-06.mp3</t>
  </si>
  <si>
    <t>S002-07.mp3</t>
  </si>
  <si>
    <t>S002-01.png</t>
  </si>
  <si>
    <t>S002-02.png</t>
  </si>
  <si>
    <t>S002-03.png</t>
  </si>
  <si>
    <t>S002-04.png</t>
  </si>
  <si>
    <t>S002-05.png</t>
  </si>
  <si>
    <t>S002-06.png</t>
  </si>
  <si>
    <t>S002-07.png</t>
  </si>
  <si>
    <t>003</t>
  </si>
  <si>
    <t>art museum</t>
  </si>
  <si>
    <t>004</t>
  </si>
  <si>
    <t>museum tour</t>
  </si>
  <si>
    <t>005</t>
  </si>
  <si>
    <t>car rental</t>
  </si>
  <si>
    <t xml:space="preserve">You are being trained to guide visitors in an art museum. </t>
  </si>
  <si>
    <t>You are being trained to help visitors during a museum tour.</t>
  </si>
  <si>
    <t>You are being trained to assist customers at a car rental agency.</t>
  </si>
  <si>
    <t>S003-01.mp3</t>
  </si>
  <si>
    <t>S003-02.mp3</t>
  </si>
  <si>
    <t>S003-03.mp3</t>
  </si>
  <si>
    <t>S003-04.mp3</t>
  </si>
  <si>
    <t>S003-05.mp3</t>
  </si>
  <si>
    <t>S003-06.mp3</t>
  </si>
  <si>
    <t>S003-07.mp3</t>
  </si>
  <si>
    <t>S004-01.mp3</t>
  </si>
  <si>
    <t>S004-02.mp3</t>
  </si>
  <si>
    <t>S004-03.mp3</t>
  </si>
  <si>
    <t>S004-04.mp3</t>
  </si>
  <si>
    <t>S004-05.mp3</t>
  </si>
  <si>
    <t>S004-06.mp3</t>
  </si>
  <si>
    <t>S004-07.mp3</t>
  </si>
  <si>
    <t>S005-01.mp3</t>
  </si>
  <si>
    <t>S005-02.mp3</t>
  </si>
  <si>
    <t>S005-03.mp3</t>
  </si>
  <si>
    <t>S005-04.mp3</t>
  </si>
  <si>
    <t>S005-05.mp3</t>
  </si>
  <si>
    <t>S005-06.mp3</t>
  </si>
  <si>
    <t>S005-07.mp3</t>
  </si>
  <si>
    <t>S003-01.png</t>
  </si>
  <si>
    <t>S003-02.png</t>
  </si>
  <si>
    <t>S003-03.png</t>
  </si>
  <si>
    <t>S003-04.png</t>
  </si>
  <si>
    <t>S003-05.png</t>
  </si>
  <si>
    <t>S003-06.png</t>
  </si>
  <si>
    <t>S003-07.png</t>
  </si>
  <si>
    <t>S004-01.png</t>
  </si>
  <si>
    <t>S004-02.png</t>
  </si>
  <si>
    <t>S004-03.png</t>
  </si>
  <si>
    <t>S004-04.png</t>
  </si>
  <si>
    <t>S004-05.png</t>
  </si>
  <si>
    <t>S004-06.png</t>
  </si>
  <si>
    <t>S004-07.png</t>
  </si>
  <si>
    <t>S005-01.png</t>
  </si>
  <si>
    <t>S005-02.png</t>
  </si>
  <si>
    <t>S005-03.png</t>
  </si>
  <si>
    <t>S005-04.png</t>
  </si>
  <si>
    <t>S005-05.png</t>
  </si>
  <si>
    <t>S005-06.png</t>
  </si>
  <si>
    <t>S005-07.png</t>
  </si>
  <si>
    <t>Is this your first time at our museum?</t>
  </si>
  <si>
    <t>For modern art visit the eastern wing.</t>
  </si>
  <si>
    <t>Classical paintings are located on the second floor.</t>
  </si>
  <si>
    <t>The new exhibit of self portraits is very popular.</t>
  </si>
  <si>
    <t>We offer group tours of gallery highlights at no extra charge.</t>
  </si>
  <si>
    <t>Unfortunately, the sculpture hall is currently under renovation.</t>
  </si>
  <si>
    <t>Our gift shop is running a special promotion on a wide selection of books.</t>
  </si>
  <si>
    <t>The ticket counter is over there.</t>
  </si>
  <si>
    <t>We have maps to help you find your way.</t>
  </si>
  <si>
    <t>It's a good idea to start at the central gallery.</t>
  </si>
  <si>
    <t>Or take a self guided tour to explore our most famous items.</t>
  </si>
  <si>
    <t>Don't forget to budget extra time for our popular gift shop.</t>
  </si>
  <si>
    <t>This week is your last chance to see the special exhibit on photography.</t>
  </si>
  <si>
    <t>Check out our calendar of upcoming events, many of which are family friendly.</t>
  </si>
  <si>
    <t>Lets check your reservations.</t>
  </si>
  <si>
    <t>You can choose your vehicle from this lot.</t>
  </si>
  <si>
    <t>The rental terms can be viewed at the contract signing desk.</t>
  </si>
  <si>
    <t>When you are ready. Come over to the key pickup station.</t>
  </si>
  <si>
    <t>Over here is where rental cars are returned to the parking lot.</t>
  </si>
  <si>
    <t>Please be sure to make a full inspection before driving away from the building.</t>
  </si>
  <si>
    <t>When returning your rental, be sure to park it in the exact same location where you picked it up.</t>
  </si>
  <si>
    <t>question</t>
  </si>
  <si>
    <t>relative clause</t>
  </si>
  <si>
    <t>006</t>
  </si>
  <si>
    <t>community center</t>
  </si>
  <si>
    <t>007</t>
  </si>
  <si>
    <t>university library</t>
  </si>
  <si>
    <t>008</t>
  </si>
  <si>
    <t>university orientation</t>
  </si>
  <si>
    <t>009</t>
  </si>
  <si>
    <t>hotel front desk</t>
  </si>
  <si>
    <t>010</t>
  </si>
  <si>
    <t>nature reserve</t>
  </si>
  <si>
    <t>011</t>
  </si>
  <si>
    <t>gym</t>
  </si>
  <si>
    <t>012</t>
  </si>
  <si>
    <t>013</t>
  </si>
  <si>
    <t>You are being trained to help visitors at a community center.</t>
  </si>
  <si>
    <t>S006-01.mp3</t>
  </si>
  <si>
    <t>S006-01.png</t>
  </si>
  <si>
    <t>Welcome to the community center.</t>
  </si>
  <si>
    <t>S006-02.mp3</t>
  </si>
  <si>
    <t>S006-02.png</t>
  </si>
  <si>
    <t>Go to the Information desk for help.</t>
  </si>
  <si>
    <t>S006-03.mp3</t>
  </si>
  <si>
    <t>S006-03.png</t>
  </si>
  <si>
    <t>The activity rooms hold various classes daily.</t>
  </si>
  <si>
    <t>S006-04.mp3</t>
  </si>
  <si>
    <t>S006-04.png</t>
  </si>
  <si>
    <t>The gym is where our popular fitness programs are held.</t>
  </si>
  <si>
    <t>S006-05.mp3</t>
  </si>
  <si>
    <t>S006-05.png</t>
  </si>
  <si>
    <t>We recommend a visit to the cafe for a snack or drink.</t>
  </si>
  <si>
    <t>S006-06.mp3</t>
  </si>
  <si>
    <t>S006-06.png</t>
  </si>
  <si>
    <t>We have a notice board for updates on community events and important announcements.</t>
  </si>
  <si>
    <t>S006-07.mp3</t>
  </si>
  <si>
    <t>S006-07.png</t>
  </si>
  <si>
    <t>If you're interested in learning more about our new courses, pick up a Free flyer.</t>
  </si>
  <si>
    <t>You are being trained to help students use the university's library resources.</t>
  </si>
  <si>
    <t>S007-01.mp3</t>
  </si>
  <si>
    <t>S007-01.png</t>
  </si>
  <si>
    <t>Search for items you need on the computer.</t>
  </si>
  <si>
    <t>S007-02.mp3</t>
  </si>
  <si>
    <t>S007-02.png</t>
  </si>
  <si>
    <t>The bookshelves are located over here.</t>
  </si>
  <si>
    <t>S007-03.mp3</t>
  </si>
  <si>
    <t>S007-03.png</t>
  </si>
  <si>
    <t>Our quiet study area has strict rules about noise.</t>
  </si>
  <si>
    <t>S007-04.mp3</t>
  </si>
  <si>
    <t>S007-04.png</t>
  </si>
  <si>
    <t>The help desk is available to assist with research questions.</t>
  </si>
  <si>
    <t>S007-05.mp3</t>
  </si>
  <si>
    <t>S007-05.png</t>
  </si>
  <si>
    <t>Printers are available to patrons for document printing.</t>
  </si>
  <si>
    <t>S007-06.mp3</t>
  </si>
  <si>
    <t>S007-06.png</t>
  </si>
  <si>
    <t>Our work stations can also be used during library hours for online research.</t>
  </si>
  <si>
    <t>S007-07.mp3</t>
  </si>
  <si>
    <t>S007-07.png</t>
  </si>
  <si>
    <t>When you're finished using them, please return checked out materials promptly and on time.</t>
  </si>
  <si>
    <t>You are being trained to assist students during the university orientation.</t>
  </si>
  <si>
    <t>S008-01.mp3</t>
  </si>
  <si>
    <t>S008-01.png</t>
  </si>
  <si>
    <t>Welcome to the student Information booth.</t>
  </si>
  <si>
    <t>S008-02.mp3</t>
  </si>
  <si>
    <t>S008-02.png</t>
  </si>
  <si>
    <t>Campus orientation is in the gym.</t>
  </si>
  <si>
    <t>S008-03.mp3</t>
  </si>
  <si>
    <t>S008-03.png</t>
  </si>
  <si>
    <t>Our cafeteria is known for its tasty meal options.</t>
  </si>
  <si>
    <t>S008-04.mp3</t>
  </si>
  <si>
    <t>S008-04.png</t>
  </si>
  <si>
    <t>Let us direct you to your assigned dormitory hall.</t>
  </si>
  <si>
    <t>S008-05.mp3</t>
  </si>
  <si>
    <t>S008-05.png</t>
  </si>
  <si>
    <t>Use the library for research and to focus on your studies.</t>
  </si>
  <si>
    <t>S008-06.mp3</t>
  </si>
  <si>
    <t>S008-06.png</t>
  </si>
  <si>
    <t>We recommend visiting the student center to learn about clubs and activities.</t>
  </si>
  <si>
    <t>S008-07.mp3</t>
  </si>
  <si>
    <t>S008-07.png</t>
  </si>
  <si>
    <t>Before your courses begin, take time to explore and get to know the facilities.</t>
  </si>
  <si>
    <t xml:space="preserve">You are being trained to assist customers at a hotel front desk. </t>
  </si>
  <si>
    <t>S009-01.mp3</t>
  </si>
  <si>
    <t>S009-01.png</t>
  </si>
  <si>
    <t>Welcome, let's get started and check you in.</t>
  </si>
  <si>
    <t>S009-02.mp3</t>
  </si>
  <si>
    <t>S009-02.png</t>
  </si>
  <si>
    <t>There is a reception desk over here for you.</t>
  </si>
  <si>
    <t>S009-03.mp3</t>
  </si>
  <si>
    <t>S009-03.png</t>
  </si>
  <si>
    <t>The elevators are located just off the main lobby.</t>
  </si>
  <si>
    <t>S009-04.mp3</t>
  </si>
  <si>
    <t>S009-04.png</t>
  </si>
  <si>
    <t>Our hotel lounge is available for relaxation.</t>
  </si>
  <si>
    <t>S009-05.mp3</t>
  </si>
  <si>
    <t>S009-05.png</t>
  </si>
  <si>
    <t>If needed, we can store your bags in the luggage storage room.</t>
  </si>
  <si>
    <t>S009-06.mp3</t>
  </si>
  <si>
    <t>S009-06.png</t>
  </si>
  <si>
    <t>Our amenities and services are listed on the notice boards throughout the building.</t>
  </si>
  <si>
    <t>S009-07.mp3</t>
  </si>
  <si>
    <t>S009-07.png</t>
  </si>
  <si>
    <t>To avoid being charged a late-departure fee, be sure to check out of your room on time.</t>
  </si>
  <si>
    <t>You are being trained to assist visitors at a nature reserve.</t>
  </si>
  <si>
    <t>S010-01.mp3</t>
  </si>
  <si>
    <t>S010-01.png</t>
  </si>
  <si>
    <t>Welcome to our local nature reserve.</t>
  </si>
  <si>
    <t>S010-02.mp3</t>
  </si>
  <si>
    <t>S010-02.png</t>
  </si>
  <si>
    <t>Take a nature walk on our hiking trails.</t>
  </si>
  <si>
    <t>S010-03.mp3</t>
  </si>
  <si>
    <t>S010-03.png</t>
  </si>
  <si>
    <t>The picnic area's a perfect place to enjoy your lunch.</t>
  </si>
  <si>
    <t>S010-04.mp3</t>
  </si>
  <si>
    <t>S010-04.png</t>
  </si>
  <si>
    <t>The visitor center has helpful information for guests.</t>
  </si>
  <si>
    <t>S010-05.mp3</t>
  </si>
  <si>
    <t>S010-05.png</t>
  </si>
  <si>
    <t>The observation tower offers a great view of the forest.</t>
  </si>
  <si>
    <t>S010-06.mp3</t>
  </si>
  <si>
    <t>S010-06.png</t>
  </si>
  <si>
    <t>Our restroom facilities are located just beside the entrance.</t>
  </si>
  <si>
    <t>S010-07.mp3</t>
  </si>
  <si>
    <t>S010-07.png</t>
  </si>
  <si>
    <t>While you're exploring the grounds, please respect all wildlife and follow the posted rules at all times.</t>
  </si>
  <si>
    <t xml:space="preserve">You are being trained to help customers use gym equipment properly. </t>
  </si>
  <si>
    <t>S011-01.mp3</t>
  </si>
  <si>
    <t>S011-01.png</t>
  </si>
  <si>
    <t>Here is how to start and adjust the treadmill.</t>
  </si>
  <si>
    <t>S011-02.mp3</t>
  </si>
  <si>
    <t>S011-02.png</t>
  </si>
  <si>
    <t>There are many benches in the weightlifting area.</t>
  </si>
  <si>
    <t>S011-03.mp3</t>
  </si>
  <si>
    <t>S011-03.png</t>
  </si>
  <si>
    <t>We do encourage the use of yoga mats for stretching out.</t>
  </si>
  <si>
    <t>S011-04.mp3</t>
  </si>
  <si>
    <t>S011-04.png</t>
  </si>
  <si>
    <t>The rowing machine is excellent for a full-body workout.</t>
  </si>
  <si>
    <t>S011-05.mp3</t>
  </si>
  <si>
    <t>S011-05.png</t>
  </si>
  <si>
    <t>We have plenty of exercise bikes for cardio training.</t>
  </si>
  <si>
    <t>S011-06.mp3</t>
  </si>
  <si>
    <t>S011-06.png</t>
  </si>
  <si>
    <t>Please use the wipes provided at each station for cleaning equipment after use.</t>
  </si>
  <si>
    <t>S011-07.mp3</t>
  </si>
  <si>
    <t>S011-07.png</t>
  </si>
  <si>
    <t>If you want to see great results quickly, consider joining our daily fitness classes.</t>
  </si>
  <si>
    <t xml:space="preserve">You are training to assist visitors at a university orientation event. </t>
  </si>
  <si>
    <t>S012-01.mp3</t>
  </si>
  <si>
    <t>S012-01.png</t>
  </si>
  <si>
    <t>Welcome to our event.</t>
  </si>
  <si>
    <t>S012-02.mp3</t>
  </si>
  <si>
    <t>S012-02.png</t>
  </si>
  <si>
    <t>Get your name badge at the registration desk.</t>
  </si>
  <si>
    <t>S012-03.mp3</t>
  </si>
  <si>
    <t>S012-03.png</t>
  </si>
  <si>
    <t>Our event is in the auditorium.</t>
  </si>
  <si>
    <t>S012-04.mp3</t>
  </si>
  <si>
    <t>S012-04.png</t>
  </si>
  <si>
    <t>For small group sessions, we will be in the breakout rooms over here.</t>
  </si>
  <si>
    <t>compound</t>
  </si>
  <si>
    <t>S012-05.mp3</t>
  </si>
  <si>
    <t>S012-05.png</t>
  </si>
  <si>
    <t>Snacks can be found in the vending area throughout the event.</t>
  </si>
  <si>
    <t>S012-06.mp3</t>
  </si>
  <si>
    <t>S012-06.png</t>
  </si>
  <si>
    <t>Please see the information desk if you need an agenda.</t>
  </si>
  <si>
    <t>S012-07.mp3</t>
  </si>
  <si>
    <t>S012-07.png</t>
  </si>
  <si>
    <t>If you want to check session times and locations, please use the schedule provided.</t>
  </si>
  <si>
    <t>You are guiding students through the process of checking out books at the university library.</t>
  </si>
  <si>
    <t>S013-01.mp3</t>
  </si>
  <si>
    <t>S013-01.png</t>
  </si>
  <si>
    <t>Welcome to the library.</t>
  </si>
  <si>
    <t>S013-02.mp3</t>
  </si>
  <si>
    <t>S013-02.png</t>
  </si>
  <si>
    <t>Our self-checkout station is for quick service.</t>
  </si>
  <si>
    <t>S013-03.mp3</t>
  </si>
  <si>
    <t>S013-03.png</t>
  </si>
  <si>
    <t>You can start here to scan your library card.</t>
  </si>
  <si>
    <t>S013-04.mp3</t>
  </si>
  <si>
    <t>S013-04.png</t>
  </si>
  <si>
    <t>Student aids are at the help desk in case you need assitance.</t>
  </si>
  <si>
    <t>S013-05.mp3</t>
  </si>
  <si>
    <t>S013-05.png</t>
  </si>
  <si>
    <t>We hope everyone will ensure that books are returned on time.</t>
  </si>
  <si>
    <t>S013-06.mp3</t>
  </si>
  <si>
    <t>S013-06.png</t>
  </si>
  <si>
    <t>Check your account online for updates on due dates and fines.</t>
  </si>
  <si>
    <t>S013-07.mp3</t>
  </si>
  <si>
    <t>S013-07.png</t>
  </si>
  <si>
    <t>When you are finished reading them, please place all your books in the return bin.</t>
  </si>
  <si>
    <t>Z001</t>
    <phoneticPr fontId="2" type="noConversion"/>
  </si>
  <si>
    <t>You are being trained to show students how to use the campus library's printing services. Listen to the speaker and repeat what he says. Repeat only once.</t>
    <phoneticPr fontId="2" type="noConversion"/>
  </si>
  <si>
    <t>Welcome to the Help Desk.</t>
  </si>
  <si>
    <t>First select the printer from your computer.</t>
  </si>
  <si>
    <t>Check the paper tray supply before you start.</t>
  </si>
  <si>
    <t>You can use your student ID for any other services.</t>
  </si>
  <si>
    <t>You can pay at the payment kiosk if you prefer that method.</t>
  </si>
  <si>
    <t>The help desk is available if you need assistance.</t>
  </si>
  <si>
    <t>When you are ready, simply select Print from your computer and retrieve your document.</t>
  </si>
  <si>
    <t>Z002</t>
    <phoneticPr fontId="2" type="noConversion"/>
  </si>
  <si>
    <t>grocery store</t>
    <phoneticPr fontId="2" type="noConversion"/>
  </si>
  <si>
    <t>You are working a part-time job at a grocery store near campus. You are being trained to assist customers. Listen to your trainer and repeat what he says. Repeat only once.</t>
    <phoneticPr fontId="2" type="noConversion"/>
  </si>
  <si>
    <t>Milk and yogurt are in the dairy section.</t>
  </si>
  <si>
    <t>Bread is freshly baked on site every day.</t>
  </si>
  <si>
    <t>We have a huge selection of fresh fruits and vegetables.</t>
  </si>
  <si>
    <t>This flyer has all our weekly deals and special discounts.</t>
  </si>
  <si>
    <t>The checkout counter is located at the front of the store.</t>
  </si>
  <si>
    <t>If you need help while learning, please don't hesitate to ask a full time store associate.</t>
  </si>
  <si>
    <t>Download our app and sign up for our newsletter to stay informed about upcoming sales.</t>
  </si>
  <si>
    <t>Z003</t>
    <phoneticPr fontId="2" type="noConversion"/>
  </si>
  <si>
    <t>student help desk</t>
    <phoneticPr fontId="2" type="noConversion"/>
  </si>
  <si>
    <t>You are working at the student help desk. Your manager is teaching you how to help new students learn how to use the university's email system. Listen to the manager and repeat what the manager says. Repeat only once.</t>
    <phoneticPr fontId="2" type="noConversion"/>
  </si>
  <si>
    <t>Check your inbox for new messages.</t>
  </si>
  <si>
    <t>Select Compose to write your e-mail.</t>
  </si>
  <si>
    <t>Select from your contacts list to add recipients to your note.</t>
  </si>
  <si>
    <t>Review sent items to confirm your messages were delivered.</t>
  </si>
  <si>
    <t>Use folders to organize your correspondence efficiently.</t>
  </si>
  <si>
    <t>Set up a few topical filters to manage incoming communications.</t>
  </si>
  <si>
    <t>To be safe, remember to log out to keep your electronic mail secure in our system.</t>
  </si>
  <si>
    <t>Z004</t>
    <phoneticPr fontId="2" type="noConversion"/>
  </si>
  <si>
    <t>You are learning to guide new students on how to use tools in a woodworking class. Listen to the speaker and repeat what she says. Repeat only once.</t>
    <phoneticPr fontId="2" type="noConversion"/>
  </si>
  <si>
    <t>welcome to the wood shop.</t>
  </si>
  <si>
    <t>these two box contains everything you should need.</t>
  </si>
  <si>
    <t>you will learn to use your saw in our classes.</t>
  </si>
  <si>
    <t>your screwdriver can be used with all of our carpentry machines.</t>
  </si>
  <si>
    <t>All wood will need to be smooth, so use the sand paper provided.</t>
  </si>
  <si>
    <t>Use only what is needed so that your supply last all quarter.</t>
  </si>
  <si>
    <t>Before you leave the class room, be sure to put all your tools back into the tool box.</t>
  </si>
  <si>
    <t>library</t>
    <phoneticPr fontId="2" type="noConversion"/>
  </si>
  <si>
    <t>woodworking class</t>
    <phoneticPr fontId="2" type="noConversion"/>
  </si>
  <si>
    <t>complex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</si>
</sst>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宋体"/>
      <family val="2"/>
      <scheme val="minor"/>
    </font>
    <font>
      <b/>
      <sz val="11"/>
      <color theme="1"/>
      <name val="宋体"/>
      <family val="2"/>
      <scheme val="minor"/>
    </font>
    <font>
      <sz val="8"/>
      <name val="宋体"/>
      <family val="2"/>
      <scheme val="minor"/>
    </font>
    <font>
      <sz val="12"/>
      <color theme="1"/>
      <name val="Times New Roman"/>
      <family val="1"/>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cellStyleXfs>
  <cellXfs count="7">
    <xf numFmtId="0" fontId="0" fillId="0" borderId="0" xfId="0"/>
    <xf numFmtId="0" fontId="1" fillId="0" borderId="1" xfId="0" applyFont="1" applyBorder="1" applyAlignment="1">
      <alignment horizontal="center" vertical="top"/>
    </xf>
    <xf numFmtId="0" fontId="1" fillId="0" borderId="2" xfId="0" applyFont="1" applyBorder="1" applyAlignment="1">
      <alignment horizontal="center" vertical="top"/>
    </xf>
    <xf numFmtId="49" fontId="1" fillId="0" borderId="1" xfId="0" applyNumberFormat="1" applyFont="1" applyBorder="1" applyAlignment="1">
      <alignment horizontal="center" vertical="top"/>
    </xf>
    <xf numFmtId="49" fontId="0" fillId="0" borderId="0" xfId="0" applyNumberFormat="1"/>
    <xf numFmtId="0" fontId="3" fillId="0" borderId="0" xfId="0" applyFont="1" applyAlignment="1">
      <alignment vertical="center"/>
    </xf>
    <xf numFmtId="0" fontId="3" fillId="0" borderId="0" xfId="0" applyFont="1"/>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20"/>
  <sheetViews>
    <sheetView tabSelected="1" topLeftCell="A81" workbookViewId="0">
      <selection activeCell="J93" sqref="J93:L120"/>
    </sheetView>
  </sheetViews>
  <sheetFormatPr baseColWidth="10" defaultColWidth="8.83203125" defaultRowHeight="14"/>
  <cols>
    <col min="2" max="2" width="8.83203125" style="4"/>
    <col min="5" max="5" width="14.1640625" customWidth="1"/>
    <col min="6" max="6" width="20.1640625" customWidth="1"/>
    <col min="7" max="7" width="12.6640625" customWidth="1"/>
    <col min="8" max="8" width="19.33203125" customWidth="1"/>
    <col min="9" max="9" width="79" customWidth="1"/>
    <col min="10" max="10" width="15" customWidth="1"/>
    <col min="11" max="11" width="11.5" customWidth="1"/>
    <col min="12" max="12" width="17" customWidth="1"/>
  </cols>
  <sheetData>
    <row r="1" spans="1:12">
      <c r="A1" s="1" t="s">
        <v>0</v>
      </c>
      <c r="B1" s="3" t="s">
        <v>1</v>
      </c>
      <c r="C1" s="1" t="s">
        <v>2</v>
      </c>
      <c r="D1" s="1" t="s">
        <v>44</v>
      </c>
      <c r="E1" s="1" t="s">
        <v>3</v>
      </c>
      <c r="F1" s="1" t="s">
        <v>4</v>
      </c>
      <c r="G1" s="1" t="s">
        <v>34</v>
      </c>
      <c r="H1" s="2" t="s">
        <v>30</v>
      </c>
      <c r="I1" s="1" t="s">
        <v>33</v>
      </c>
      <c r="J1" s="1" t="s">
        <v>5</v>
      </c>
      <c r="K1" s="1" t="s">
        <v>6</v>
      </c>
      <c r="L1" s="1" t="s">
        <v>7</v>
      </c>
    </row>
    <row r="2" spans="1:12">
      <c r="A2">
        <v>2026</v>
      </c>
      <c r="B2" s="4" t="s">
        <v>42</v>
      </c>
      <c r="C2">
        <v>1</v>
      </c>
      <c r="D2" cm="1">
        <f t="array" ref="D2">_xlfn.IFS(C2&lt;=2,8, C2&lt;=5,10, C2&lt;=7,12, TRUE,"")</f>
        <v>8</v>
      </c>
      <c r="E2" t="s">
        <v>8</v>
      </c>
      <c r="F2" t="s">
        <v>10</v>
      </c>
      <c r="G2" t="s">
        <v>35</v>
      </c>
      <c r="H2" t="s">
        <v>31</v>
      </c>
      <c r="I2" t="s">
        <v>12</v>
      </c>
      <c r="J2" t="s">
        <v>26</v>
      </c>
      <c r="K2">
        <v>6</v>
      </c>
      <c r="L2">
        <v>2</v>
      </c>
    </row>
    <row r="3" spans="1:12">
      <c r="A3">
        <v>2026</v>
      </c>
      <c r="B3" s="4" t="s">
        <v>42</v>
      </c>
      <c r="C3">
        <v>2</v>
      </c>
      <c r="D3" cm="1">
        <f t="array" ref="D3">_xlfn.IFS(C3&lt;=2,8, C3&lt;=5,10, C3&lt;=7,12, TRUE,"")</f>
        <v>8</v>
      </c>
      <c r="E3" t="s">
        <v>8</v>
      </c>
      <c r="F3" t="s">
        <v>10</v>
      </c>
      <c r="G3" t="s">
        <v>36</v>
      </c>
      <c r="H3" t="s">
        <v>32</v>
      </c>
      <c r="I3" t="s">
        <v>13</v>
      </c>
      <c r="J3" t="s">
        <v>26</v>
      </c>
      <c r="K3">
        <v>9</v>
      </c>
      <c r="L3">
        <v>1</v>
      </c>
    </row>
    <row r="4" spans="1:12">
      <c r="A4">
        <v>2026</v>
      </c>
      <c r="B4" s="4" t="s">
        <v>42</v>
      </c>
      <c r="C4">
        <v>3</v>
      </c>
      <c r="D4" cm="1">
        <f t="array" ref="D4">_xlfn.IFS(C4&lt;=2,8, C4&lt;=5,10, C4&lt;=7,12, TRUE,"")</f>
        <v>10</v>
      </c>
      <c r="E4" t="s">
        <v>8</v>
      </c>
      <c r="F4" t="s">
        <v>10</v>
      </c>
      <c r="G4" t="s">
        <v>37</v>
      </c>
      <c r="H4" t="s">
        <v>45</v>
      </c>
      <c r="I4" t="s">
        <v>14</v>
      </c>
      <c r="J4" t="s">
        <v>26</v>
      </c>
      <c r="K4">
        <v>11</v>
      </c>
      <c r="L4">
        <v>2</v>
      </c>
    </row>
    <row r="5" spans="1:12">
      <c r="A5">
        <v>2026</v>
      </c>
      <c r="B5" s="4" t="s">
        <v>42</v>
      </c>
      <c r="C5">
        <v>4</v>
      </c>
      <c r="D5" cm="1">
        <f t="array" ref="D5">_xlfn.IFS(C5&lt;=2,8, C5&lt;=5,10, C5&lt;=7,12, TRUE,"")</f>
        <v>10</v>
      </c>
      <c r="E5" t="s">
        <v>8</v>
      </c>
      <c r="F5" t="s">
        <v>10</v>
      </c>
      <c r="G5" t="s">
        <v>38</v>
      </c>
      <c r="H5" t="s">
        <v>46</v>
      </c>
      <c r="I5" t="s">
        <v>15</v>
      </c>
      <c r="J5" t="s">
        <v>27</v>
      </c>
      <c r="K5">
        <v>12</v>
      </c>
      <c r="L5">
        <v>2</v>
      </c>
    </row>
    <row r="6" spans="1:12">
      <c r="A6">
        <v>2026</v>
      </c>
      <c r="B6" s="4" t="s">
        <v>42</v>
      </c>
      <c r="C6">
        <v>5</v>
      </c>
      <c r="D6" cm="1">
        <f t="array" ref="D6">_xlfn.IFS(C6&lt;=2,8, C6&lt;=5,10, C6&lt;=7,12, TRUE,"")</f>
        <v>10</v>
      </c>
      <c r="E6" t="s">
        <v>8</v>
      </c>
      <c r="F6" t="s">
        <v>10</v>
      </c>
      <c r="G6" t="s">
        <v>39</v>
      </c>
      <c r="H6" t="s">
        <v>47</v>
      </c>
      <c r="I6" t="s">
        <v>16</v>
      </c>
      <c r="J6" t="s">
        <v>27</v>
      </c>
      <c r="K6">
        <v>9</v>
      </c>
      <c r="L6">
        <v>2</v>
      </c>
    </row>
    <row r="7" spans="1:12">
      <c r="A7">
        <v>2026</v>
      </c>
      <c r="B7" s="4" t="s">
        <v>42</v>
      </c>
      <c r="C7">
        <v>6</v>
      </c>
      <c r="D7" cm="1">
        <f t="array" ref="D7">_xlfn.IFS(C7&lt;=2,8, C7&lt;=5,10, C7&lt;=7,12, TRUE,"")</f>
        <v>12</v>
      </c>
      <c r="E7" t="s">
        <v>8</v>
      </c>
      <c r="F7" t="s">
        <v>10</v>
      </c>
      <c r="G7" t="s">
        <v>40</v>
      </c>
      <c r="H7" t="s">
        <v>48</v>
      </c>
      <c r="I7" t="s">
        <v>17</v>
      </c>
      <c r="J7" t="s">
        <v>28</v>
      </c>
      <c r="K7">
        <v>11</v>
      </c>
      <c r="L7">
        <v>3</v>
      </c>
    </row>
    <row r="8" spans="1:12">
      <c r="A8">
        <v>2026</v>
      </c>
      <c r="B8" s="4" t="s">
        <v>42</v>
      </c>
      <c r="C8">
        <v>7</v>
      </c>
      <c r="D8" cm="1">
        <f t="array" ref="D8">_xlfn.IFS(C8&lt;=2,8, C8&lt;=5,10, C8&lt;=7,12, TRUE,"")</f>
        <v>12</v>
      </c>
      <c r="E8" t="s">
        <v>8</v>
      </c>
      <c r="F8" t="s">
        <v>10</v>
      </c>
      <c r="G8" t="s">
        <v>41</v>
      </c>
      <c r="H8" t="s">
        <v>49</v>
      </c>
      <c r="I8" t="s">
        <v>18</v>
      </c>
      <c r="J8" t="s">
        <v>28</v>
      </c>
      <c r="K8">
        <v>13</v>
      </c>
      <c r="L8">
        <v>3</v>
      </c>
    </row>
    <row r="9" spans="1:12">
      <c r="A9">
        <v>2026</v>
      </c>
      <c r="B9" s="4" t="s">
        <v>43</v>
      </c>
      <c r="C9">
        <v>1</v>
      </c>
      <c r="D9" cm="1">
        <f t="array" ref="D9">_xlfn.IFS(C9&lt;=2,8, C9&lt;=5,10, C9&lt;=7,12, TRUE,"")</f>
        <v>8</v>
      </c>
      <c r="E9" t="s">
        <v>9</v>
      </c>
      <c r="F9" t="s">
        <v>11</v>
      </c>
      <c r="G9" t="s">
        <v>50</v>
      </c>
      <c r="H9" t="s">
        <v>57</v>
      </c>
      <c r="I9" t="s">
        <v>19</v>
      </c>
      <c r="J9" t="s">
        <v>26</v>
      </c>
      <c r="K9">
        <v>5</v>
      </c>
      <c r="L9">
        <v>1</v>
      </c>
    </row>
    <row r="10" spans="1:12">
      <c r="A10">
        <v>2026</v>
      </c>
      <c r="B10" s="4" t="s">
        <v>43</v>
      </c>
      <c r="C10">
        <v>2</v>
      </c>
      <c r="D10" cm="1">
        <f t="array" ref="D10">_xlfn.IFS(C10&lt;=2,8, C10&lt;=5,10, C10&lt;=7,12, TRUE,"")</f>
        <v>8</v>
      </c>
      <c r="E10" t="s">
        <v>9</v>
      </c>
      <c r="F10" t="s">
        <v>11</v>
      </c>
      <c r="G10" t="s">
        <v>51</v>
      </c>
      <c r="H10" t="s">
        <v>58</v>
      </c>
      <c r="I10" t="s">
        <v>20</v>
      </c>
      <c r="J10" t="s">
        <v>26</v>
      </c>
      <c r="K10">
        <v>6</v>
      </c>
      <c r="L10">
        <v>1</v>
      </c>
    </row>
    <row r="11" spans="1:12">
      <c r="A11">
        <v>2026</v>
      </c>
      <c r="B11" s="4" t="s">
        <v>43</v>
      </c>
      <c r="C11">
        <v>3</v>
      </c>
      <c r="D11" cm="1">
        <f t="array" ref="D11">_xlfn.IFS(C11&lt;=2,8, C11&lt;=5,10, C11&lt;=7,12, TRUE,"")</f>
        <v>10</v>
      </c>
      <c r="E11" t="s">
        <v>9</v>
      </c>
      <c r="F11" t="s">
        <v>11</v>
      </c>
      <c r="G11" t="s">
        <v>52</v>
      </c>
      <c r="H11" t="s">
        <v>59</v>
      </c>
      <c r="I11" t="s">
        <v>21</v>
      </c>
      <c r="J11" t="s">
        <v>26</v>
      </c>
      <c r="K11">
        <v>6</v>
      </c>
      <c r="L11">
        <v>1</v>
      </c>
    </row>
    <row r="12" spans="1:12">
      <c r="A12">
        <v>2026</v>
      </c>
      <c r="B12" s="4" t="s">
        <v>43</v>
      </c>
      <c r="C12">
        <v>4</v>
      </c>
      <c r="D12" cm="1">
        <f t="array" ref="D12">_xlfn.IFS(C12&lt;=2,8, C12&lt;=5,10, C12&lt;=7,12, TRUE,"")</f>
        <v>10</v>
      </c>
      <c r="E12" t="s">
        <v>9</v>
      </c>
      <c r="F12" t="s">
        <v>11</v>
      </c>
      <c r="G12" t="s">
        <v>53</v>
      </c>
      <c r="H12" t="s">
        <v>60</v>
      </c>
      <c r="I12" t="s">
        <v>22</v>
      </c>
      <c r="J12" t="s">
        <v>28</v>
      </c>
      <c r="K12">
        <v>11</v>
      </c>
      <c r="L12">
        <v>3</v>
      </c>
    </row>
    <row r="13" spans="1:12">
      <c r="A13">
        <v>2026</v>
      </c>
      <c r="B13" s="4" t="s">
        <v>43</v>
      </c>
      <c r="C13">
        <v>5</v>
      </c>
      <c r="D13" cm="1">
        <f t="array" ref="D13">_xlfn.IFS(C13&lt;=2,8, C13&lt;=5,10, C13&lt;=7,12, TRUE,"")</f>
        <v>10</v>
      </c>
      <c r="E13" t="s">
        <v>9</v>
      </c>
      <c r="F13" t="s">
        <v>11</v>
      </c>
      <c r="G13" t="s">
        <v>54</v>
      </c>
      <c r="H13" t="s">
        <v>61</v>
      </c>
      <c r="I13" t="s">
        <v>23</v>
      </c>
      <c r="J13" t="s">
        <v>26</v>
      </c>
      <c r="K13">
        <v>8</v>
      </c>
      <c r="L13">
        <v>1</v>
      </c>
    </row>
    <row r="14" spans="1:12">
      <c r="A14">
        <v>2026</v>
      </c>
      <c r="B14" s="4" t="s">
        <v>43</v>
      </c>
      <c r="C14">
        <v>6</v>
      </c>
      <c r="D14" cm="1">
        <f t="array" ref="D14">_xlfn.IFS(C14&lt;=2,8, C14&lt;=5,10, C14&lt;=7,12, TRUE,"")</f>
        <v>12</v>
      </c>
      <c r="E14" t="s">
        <v>9</v>
      </c>
      <c r="F14" t="s">
        <v>11</v>
      </c>
      <c r="G14" t="s">
        <v>55</v>
      </c>
      <c r="H14" t="s">
        <v>62</v>
      </c>
      <c r="I14" t="s">
        <v>24</v>
      </c>
      <c r="J14" t="s">
        <v>26</v>
      </c>
      <c r="K14">
        <v>10</v>
      </c>
      <c r="L14">
        <v>1</v>
      </c>
    </row>
    <row r="15" spans="1:12">
      <c r="A15">
        <v>2026</v>
      </c>
      <c r="B15" s="4" t="s">
        <v>43</v>
      </c>
      <c r="C15">
        <v>7</v>
      </c>
      <c r="D15" cm="1">
        <f t="array" ref="D15">_xlfn.IFS(C15&lt;=2,8, C15&lt;=5,10, C15&lt;=7,12, TRUE,"")</f>
        <v>12</v>
      </c>
      <c r="E15" t="s">
        <v>9</v>
      </c>
      <c r="F15" t="s">
        <v>11</v>
      </c>
      <c r="G15" t="s">
        <v>56</v>
      </c>
      <c r="H15" t="s">
        <v>63</v>
      </c>
      <c r="I15" t="s">
        <v>25</v>
      </c>
      <c r="J15" t="s">
        <v>29</v>
      </c>
      <c r="K15">
        <v>15</v>
      </c>
      <c r="L15">
        <v>4</v>
      </c>
    </row>
    <row r="16" spans="1:12">
      <c r="A16">
        <v>2026</v>
      </c>
      <c r="B16" s="4" t="s">
        <v>64</v>
      </c>
      <c r="C16">
        <v>1</v>
      </c>
      <c r="D16" cm="1">
        <f t="array" ref="D16">_xlfn.IFS(C16&lt;=2,8, C16&lt;=5,10, C16&lt;=7,12, TRUE,"")</f>
        <v>8</v>
      </c>
      <c r="E16" t="s">
        <v>65</v>
      </c>
      <c r="F16" t="s">
        <v>70</v>
      </c>
      <c r="G16" t="s">
        <v>73</v>
      </c>
      <c r="H16" t="s">
        <v>94</v>
      </c>
      <c r="I16" t="s">
        <v>115</v>
      </c>
      <c r="J16" t="s">
        <v>136</v>
      </c>
      <c r="K16">
        <v>8</v>
      </c>
      <c r="L16">
        <v>1</v>
      </c>
    </row>
    <row r="17" spans="1:12">
      <c r="A17">
        <v>2026</v>
      </c>
      <c r="B17" s="4" t="s">
        <v>64</v>
      </c>
      <c r="C17">
        <v>2</v>
      </c>
      <c r="D17" cm="1">
        <f t="array" ref="D17">_xlfn.IFS(C17&lt;=2,8, C17&lt;=5,10, C17&lt;=7,12, TRUE,"")</f>
        <v>8</v>
      </c>
      <c r="E17" t="s">
        <v>65</v>
      </c>
      <c r="F17" t="s">
        <v>70</v>
      </c>
      <c r="G17" t="s">
        <v>74</v>
      </c>
      <c r="H17" t="s">
        <v>95</v>
      </c>
      <c r="I17" t="s">
        <v>116</v>
      </c>
      <c r="J17" t="s">
        <v>28</v>
      </c>
      <c r="K17">
        <v>7</v>
      </c>
      <c r="L17">
        <v>2</v>
      </c>
    </row>
    <row r="18" spans="1:12">
      <c r="A18">
        <v>2026</v>
      </c>
      <c r="B18" s="4" t="s">
        <v>64</v>
      </c>
      <c r="C18">
        <v>3</v>
      </c>
      <c r="D18" cm="1">
        <f t="array" ref="D18">_xlfn.IFS(C18&lt;=2,8, C18&lt;=5,10, C18&lt;=7,12, TRUE,"")</f>
        <v>10</v>
      </c>
      <c r="E18" t="s">
        <v>65</v>
      </c>
      <c r="F18" t="s">
        <v>70</v>
      </c>
      <c r="G18" t="s">
        <v>75</v>
      </c>
      <c r="H18" t="s">
        <v>96</v>
      </c>
      <c r="I18" t="s">
        <v>117</v>
      </c>
      <c r="J18" t="s">
        <v>28</v>
      </c>
      <c r="K18">
        <v>8</v>
      </c>
      <c r="L18">
        <v>2</v>
      </c>
    </row>
    <row r="19" spans="1:12">
      <c r="A19">
        <v>2026</v>
      </c>
      <c r="B19" s="4" t="s">
        <v>64</v>
      </c>
      <c r="C19">
        <v>4</v>
      </c>
      <c r="D19" cm="1">
        <f t="array" ref="D19">_xlfn.IFS(C19&lt;=2,8, C19&lt;=5,10, C19&lt;=7,12, TRUE,"")</f>
        <v>10</v>
      </c>
      <c r="E19" t="s">
        <v>65</v>
      </c>
      <c r="F19" t="s">
        <v>70</v>
      </c>
      <c r="G19" t="s">
        <v>76</v>
      </c>
      <c r="H19" t="s">
        <v>97</v>
      </c>
      <c r="I19" t="s">
        <v>118</v>
      </c>
      <c r="J19" t="s">
        <v>26</v>
      </c>
      <c r="K19">
        <v>9</v>
      </c>
      <c r="L19">
        <v>1</v>
      </c>
    </row>
    <row r="20" spans="1:12">
      <c r="A20">
        <v>2026</v>
      </c>
      <c r="B20" s="4" t="s">
        <v>64</v>
      </c>
      <c r="C20">
        <v>5</v>
      </c>
      <c r="D20" cm="1">
        <f t="array" ref="D20">_xlfn.IFS(C20&lt;=2,8, C20&lt;=5,10, C20&lt;=7,12, TRUE,"")</f>
        <v>10</v>
      </c>
      <c r="E20" t="s">
        <v>65</v>
      </c>
      <c r="F20" t="s">
        <v>70</v>
      </c>
      <c r="G20" t="s">
        <v>77</v>
      </c>
      <c r="H20" t="s">
        <v>98</v>
      </c>
      <c r="I20" t="s">
        <v>119</v>
      </c>
      <c r="J20" t="s">
        <v>26</v>
      </c>
      <c r="K20">
        <v>11</v>
      </c>
      <c r="L20">
        <v>2</v>
      </c>
    </row>
    <row r="21" spans="1:12">
      <c r="A21">
        <v>2026</v>
      </c>
      <c r="B21" s="4" t="s">
        <v>64</v>
      </c>
      <c r="C21">
        <v>6</v>
      </c>
      <c r="D21" cm="1">
        <f t="array" ref="D21">_xlfn.IFS(C21&lt;=2,8, C21&lt;=5,10, C21&lt;=7,12, TRUE,"")</f>
        <v>12</v>
      </c>
      <c r="E21" t="s">
        <v>65</v>
      </c>
      <c r="F21" t="s">
        <v>70</v>
      </c>
      <c r="G21" t="s">
        <v>78</v>
      </c>
      <c r="H21" t="s">
        <v>99</v>
      </c>
      <c r="I21" t="s">
        <v>120</v>
      </c>
      <c r="J21" t="s">
        <v>26</v>
      </c>
      <c r="K21">
        <v>8</v>
      </c>
      <c r="L21">
        <v>2</v>
      </c>
    </row>
    <row r="22" spans="1:12">
      <c r="A22">
        <v>2026</v>
      </c>
      <c r="B22" s="4" t="s">
        <v>64</v>
      </c>
      <c r="C22">
        <v>7</v>
      </c>
      <c r="D22" cm="1">
        <f t="array" ref="D22">_xlfn.IFS(C22&lt;=2,8, C22&lt;=5,10, C22&lt;=7,12, TRUE,"")</f>
        <v>12</v>
      </c>
      <c r="E22" t="s">
        <v>65</v>
      </c>
      <c r="F22" t="s">
        <v>70</v>
      </c>
      <c r="G22" t="s">
        <v>79</v>
      </c>
      <c r="H22" t="s">
        <v>100</v>
      </c>
      <c r="I22" t="s">
        <v>121</v>
      </c>
      <c r="J22" t="s">
        <v>28</v>
      </c>
      <c r="K22">
        <v>14</v>
      </c>
      <c r="L22">
        <v>3</v>
      </c>
    </row>
    <row r="23" spans="1:12">
      <c r="A23">
        <v>2026</v>
      </c>
      <c r="B23" s="4" t="s">
        <v>66</v>
      </c>
      <c r="C23">
        <v>1</v>
      </c>
      <c r="D23" cm="1">
        <f t="array" ref="D23">_xlfn.IFS(C23&lt;=2,8, C23&lt;=5,10, C23&lt;=7,12, TRUE,"")</f>
        <v>8</v>
      </c>
      <c r="E23" t="s">
        <v>67</v>
      </c>
      <c r="F23" t="s">
        <v>71</v>
      </c>
      <c r="G23" t="s">
        <v>80</v>
      </c>
      <c r="H23" t="s">
        <v>101</v>
      </c>
      <c r="I23" t="s">
        <v>122</v>
      </c>
      <c r="J23" t="s">
        <v>26</v>
      </c>
      <c r="K23">
        <v>6</v>
      </c>
      <c r="L23">
        <v>1</v>
      </c>
    </row>
    <row r="24" spans="1:12">
      <c r="A24">
        <v>2026</v>
      </c>
      <c r="B24" s="4" t="s">
        <v>66</v>
      </c>
      <c r="C24">
        <v>2</v>
      </c>
      <c r="D24" cm="1">
        <f t="array" ref="D24">_xlfn.IFS(C24&lt;=2,8, C24&lt;=5,10, C24&lt;=7,12, TRUE,"")</f>
        <v>8</v>
      </c>
      <c r="E24" t="s">
        <v>67</v>
      </c>
      <c r="F24" t="s">
        <v>71</v>
      </c>
      <c r="G24" t="s">
        <v>81</v>
      </c>
      <c r="H24" t="s">
        <v>102</v>
      </c>
      <c r="I24" t="s">
        <v>123</v>
      </c>
      <c r="J24" t="s">
        <v>28</v>
      </c>
      <c r="K24">
        <v>9</v>
      </c>
      <c r="L24">
        <v>2</v>
      </c>
    </row>
    <row r="25" spans="1:12">
      <c r="A25">
        <v>2026</v>
      </c>
      <c r="B25" s="4" t="s">
        <v>66</v>
      </c>
      <c r="C25">
        <v>3</v>
      </c>
      <c r="D25" cm="1">
        <f t="array" ref="D25">_xlfn.IFS(C25&lt;=2,8, C25&lt;=5,10, C25&lt;=7,12, TRUE,"")</f>
        <v>10</v>
      </c>
      <c r="E25" t="s">
        <v>67</v>
      </c>
      <c r="F25" t="s">
        <v>71</v>
      </c>
      <c r="G25" t="s">
        <v>82</v>
      </c>
      <c r="H25" t="s">
        <v>103</v>
      </c>
      <c r="I25" t="s">
        <v>124</v>
      </c>
      <c r="J25" t="s">
        <v>28</v>
      </c>
      <c r="K25">
        <v>10</v>
      </c>
      <c r="L25">
        <v>2</v>
      </c>
    </row>
    <row r="26" spans="1:12">
      <c r="A26">
        <v>2026</v>
      </c>
      <c r="B26" s="4" t="s">
        <v>66</v>
      </c>
      <c r="C26">
        <v>4</v>
      </c>
      <c r="D26" cm="1">
        <f t="array" ref="D26">_xlfn.IFS(C26&lt;=2,8, C26&lt;=5,10, C26&lt;=7,12, TRUE,"")</f>
        <v>10</v>
      </c>
      <c r="E26" t="s">
        <v>67</v>
      </c>
      <c r="F26" t="s">
        <v>71</v>
      </c>
      <c r="G26" t="s">
        <v>83</v>
      </c>
      <c r="H26" t="s">
        <v>104</v>
      </c>
      <c r="I26" t="s">
        <v>125</v>
      </c>
      <c r="J26" t="s">
        <v>28</v>
      </c>
      <c r="K26">
        <v>12</v>
      </c>
      <c r="L26">
        <v>4</v>
      </c>
    </row>
    <row r="27" spans="1:12">
      <c r="A27">
        <v>2026</v>
      </c>
      <c r="B27" s="4" t="s">
        <v>66</v>
      </c>
      <c r="C27">
        <v>5</v>
      </c>
      <c r="D27" cm="1">
        <f t="array" ref="D27">_xlfn.IFS(C27&lt;=2,8, C27&lt;=5,10, C27&lt;=7,12, TRUE,"")</f>
        <v>10</v>
      </c>
      <c r="E27" t="s">
        <v>67</v>
      </c>
      <c r="F27" t="s">
        <v>71</v>
      </c>
      <c r="G27" t="s">
        <v>84</v>
      </c>
      <c r="H27" t="s">
        <v>105</v>
      </c>
      <c r="I27" t="s">
        <v>126</v>
      </c>
      <c r="J27" t="s">
        <v>27</v>
      </c>
      <c r="K27">
        <v>11</v>
      </c>
      <c r="L27">
        <v>2</v>
      </c>
    </row>
    <row r="28" spans="1:12">
      <c r="A28">
        <v>2026</v>
      </c>
      <c r="B28" s="4" t="s">
        <v>66</v>
      </c>
      <c r="C28">
        <v>6</v>
      </c>
      <c r="D28" cm="1">
        <f t="array" ref="D28">_xlfn.IFS(C28&lt;=2,8, C28&lt;=5,10, C28&lt;=7,12, TRUE,"")</f>
        <v>12</v>
      </c>
      <c r="E28" t="s">
        <v>67</v>
      </c>
      <c r="F28" t="s">
        <v>71</v>
      </c>
      <c r="G28" t="s">
        <v>85</v>
      </c>
      <c r="H28" t="s">
        <v>106</v>
      </c>
      <c r="I28" t="s">
        <v>127</v>
      </c>
      <c r="J28" t="s">
        <v>28</v>
      </c>
      <c r="K28">
        <v>13</v>
      </c>
      <c r="L28">
        <v>3</v>
      </c>
    </row>
    <row r="29" spans="1:12">
      <c r="A29">
        <v>2026</v>
      </c>
      <c r="B29" s="4" t="s">
        <v>66</v>
      </c>
      <c r="C29">
        <v>7</v>
      </c>
      <c r="D29" cm="1">
        <f t="array" ref="D29">_xlfn.IFS(C29&lt;=2,8, C29&lt;=5,10, C29&lt;=7,12, TRUE,"")</f>
        <v>12</v>
      </c>
      <c r="E29" t="s">
        <v>67</v>
      </c>
      <c r="F29" t="s">
        <v>71</v>
      </c>
      <c r="G29" t="s">
        <v>86</v>
      </c>
      <c r="H29" t="s">
        <v>107</v>
      </c>
      <c r="I29" t="s">
        <v>128</v>
      </c>
      <c r="J29" t="s">
        <v>27</v>
      </c>
      <c r="K29">
        <v>13</v>
      </c>
      <c r="L29">
        <v>3</v>
      </c>
    </row>
    <row r="30" spans="1:12">
      <c r="A30">
        <v>2026</v>
      </c>
      <c r="B30" s="4" t="s">
        <v>68</v>
      </c>
      <c r="C30">
        <v>1</v>
      </c>
      <c r="D30" cm="1">
        <f t="array" ref="D30">_xlfn.IFS(C30&lt;=2,8, C30&lt;=5,10, C30&lt;=7,12, TRUE,"")</f>
        <v>8</v>
      </c>
      <c r="E30" t="s">
        <v>69</v>
      </c>
      <c r="F30" t="s">
        <v>72</v>
      </c>
      <c r="G30" t="s">
        <v>87</v>
      </c>
      <c r="H30" t="s">
        <v>108</v>
      </c>
      <c r="I30" t="s">
        <v>129</v>
      </c>
      <c r="J30" t="s">
        <v>27</v>
      </c>
      <c r="K30">
        <v>4</v>
      </c>
      <c r="L30">
        <v>2</v>
      </c>
    </row>
    <row r="31" spans="1:12">
      <c r="A31">
        <v>2026</v>
      </c>
      <c r="B31" s="4" t="s">
        <v>68</v>
      </c>
      <c r="C31">
        <v>2</v>
      </c>
      <c r="D31" cm="1">
        <f t="array" ref="D31">_xlfn.IFS(C31&lt;=2,8, C31&lt;=5,10, C31&lt;=7,12, TRUE,"")</f>
        <v>8</v>
      </c>
      <c r="E31" t="s">
        <v>69</v>
      </c>
      <c r="F31" t="s">
        <v>72</v>
      </c>
      <c r="G31" t="s">
        <v>88</v>
      </c>
      <c r="H31" t="s">
        <v>109</v>
      </c>
      <c r="I31" t="s">
        <v>130</v>
      </c>
      <c r="J31" t="s">
        <v>26</v>
      </c>
      <c r="K31">
        <v>8</v>
      </c>
      <c r="L31">
        <v>1</v>
      </c>
    </row>
    <row r="32" spans="1:12">
      <c r="A32">
        <v>2026</v>
      </c>
      <c r="B32" s="4" t="s">
        <v>68</v>
      </c>
      <c r="C32">
        <v>3</v>
      </c>
      <c r="D32" cm="1">
        <f t="array" ref="D32">_xlfn.IFS(C32&lt;=2,8, C32&lt;=5,10, C32&lt;=7,12, TRUE,"")</f>
        <v>10</v>
      </c>
      <c r="E32" t="s">
        <v>69</v>
      </c>
      <c r="F32" t="s">
        <v>72</v>
      </c>
      <c r="G32" t="s">
        <v>89</v>
      </c>
      <c r="H32" t="s">
        <v>110</v>
      </c>
      <c r="I32" t="s">
        <v>131</v>
      </c>
      <c r="J32" t="s">
        <v>28</v>
      </c>
      <c r="K32">
        <v>11</v>
      </c>
      <c r="L32">
        <v>5</v>
      </c>
    </row>
    <row r="33" spans="1:12">
      <c r="A33">
        <v>2026</v>
      </c>
      <c r="B33" s="4" t="s">
        <v>68</v>
      </c>
      <c r="C33">
        <v>4</v>
      </c>
      <c r="D33" cm="1">
        <f t="array" ref="D33">_xlfn.IFS(C33&lt;=2,8, C33&lt;=5,10, C33&lt;=7,12, TRUE,"")</f>
        <v>10</v>
      </c>
      <c r="E33" t="s">
        <v>69</v>
      </c>
      <c r="F33" t="s">
        <v>72</v>
      </c>
      <c r="G33" t="s">
        <v>90</v>
      </c>
      <c r="H33" t="s">
        <v>111</v>
      </c>
      <c r="I33" t="s">
        <v>132</v>
      </c>
      <c r="J33" t="s">
        <v>29</v>
      </c>
      <c r="K33">
        <v>11</v>
      </c>
      <c r="L33">
        <v>4</v>
      </c>
    </row>
    <row r="34" spans="1:12">
      <c r="A34">
        <v>2026</v>
      </c>
      <c r="B34" s="4" t="s">
        <v>68</v>
      </c>
      <c r="C34">
        <v>5</v>
      </c>
      <c r="D34" cm="1">
        <f t="array" ref="D34">_xlfn.IFS(C34&lt;=2,8, C34&lt;=5,10, C34&lt;=7,12, TRUE,"")</f>
        <v>10</v>
      </c>
      <c r="E34" t="s">
        <v>69</v>
      </c>
      <c r="F34" t="s">
        <v>72</v>
      </c>
      <c r="G34" t="s">
        <v>91</v>
      </c>
      <c r="H34" t="s">
        <v>112</v>
      </c>
      <c r="I34" t="s">
        <v>133</v>
      </c>
      <c r="J34" t="s">
        <v>137</v>
      </c>
      <c r="K34">
        <v>12</v>
      </c>
      <c r="L34">
        <v>4</v>
      </c>
    </row>
    <row r="35" spans="1:12">
      <c r="A35">
        <v>2026</v>
      </c>
      <c r="B35" s="4" t="s">
        <v>68</v>
      </c>
      <c r="C35">
        <v>6</v>
      </c>
      <c r="D35" cm="1">
        <f t="array" ref="D35">_xlfn.IFS(C35&lt;=2,8, C35&lt;=5,10, C35&lt;=7,12, TRUE,"")</f>
        <v>12</v>
      </c>
      <c r="E35" t="s">
        <v>69</v>
      </c>
      <c r="F35" t="s">
        <v>72</v>
      </c>
      <c r="G35" t="s">
        <v>92</v>
      </c>
      <c r="H35" t="s">
        <v>113</v>
      </c>
      <c r="I35" t="s">
        <v>134</v>
      </c>
      <c r="J35" t="s">
        <v>27</v>
      </c>
      <c r="K35">
        <v>14</v>
      </c>
      <c r="L35">
        <v>4</v>
      </c>
    </row>
    <row r="36" spans="1:12">
      <c r="A36">
        <v>2026</v>
      </c>
      <c r="B36" s="4" t="s">
        <v>68</v>
      </c>
      <c r="C36">
        <v>7</v>
      </c>
      <c r="D36" cm="1">
        <f t="array" ref="D36">_xlfn.IFS(C36&lt;=2,8, C36&lt;=5,10, C36&lt;=7,12, TRUE,"")</f>
        <v>12</v>
      </c>
      <c r="E36" t="s">
        <v>69</v>
      </c>
      <c r="F36" t="s">
        <v>72</v>
      </c>
      <c r="G36" t="s">
        <v>93</v>
      </c>
      <c r="H36" t="s">
        <v>114</v>
      </c>
      <c r="I36" t="s">
        <v>135</v>
      </c>
      <c r="J36" t="s">
        <v>29</v>
      </c>
      <c r="K36">
        <v>19</v>
      </c>
      <c r="L36">
        <v>5</v>
      </c>
    </row>
    <row r="37" spans="1:12">
      <c r="A37">
        <v>2026</v>
      </c>
      <c r="B37" s="4" t="s">
        <v>138</v>
      </c>
      <c r="C37">
        <v>1</v>
      </c>
      <c r="D37" cm="1">
        <f t="array" ref="D37">_xlfn.IFS(C37&lt;=2,8, C37&lt;=5,10, C37&lt;=7,12, TRUE,"")</f>
        <v>8</v>
      </c>
      <c r="E37" t="s">
        <v>139</v>
      </c>
      <c r="F37" t="s">
        <v>152</v>
      </c>
      <c r="G37" t="s">
        <v>153</v>
      </c>
      <c r="H37" t="s">
        <v>154</v>
      </c>
      <c r="I37" t="s">
        <v>155</v>
      </c>
      <c r="J37" t="s">
        <v>26</v>
      </c>
      <c r="K37">
        <v>5</v>
      </c>
      <c r="L37">
        <v>1</v>
      </c>
    </row>
    <row r="38" spans="1:12">
      <c r="A38">
        <v>2026</v>
      </c>
      <c r="B38" s="4" t="s">
        <v>138</v>
      </c>
      <c r="C38">
        <v>2</v>
      </c>
      <c r="D38" cm="1">
        <f t="array" ref="D38">_xlfn.IFS(C38&lt;=2,8, C38&lt;=5,10, C38&lt;=7,12, TRUE,"")</f>
        <v>8</v>
      </c>
      <c r="E38" t="s">
        <v>139</v>
      </c>
      <c r="F38" t="s">
        <v>152</v>
      </c>
      <c r="G38" t="s">
        <v>156</v>
      </c>
      <c r="H38" t="s">
        <v>157</v>
      </c>
      <c r="I38" t="s">
        <v>158</v>
      </c>
      <c r="J38" t="s">
        <v>27</v>
      </c>
      <c r="K38">
        <v>7</v>
      </c>
      <c r="L38">
        <v>1</v>
      </c>
    </row>
    <row r="39" spans="1:12">
      <c r="A39">
        <v>2026</v>
      </c>
      <c r="B39" s="4" t="s">
        <v>138</v>
      </c>
      <c r="C39">
        <v>3</v>
      </c>
      <c r="D39" cm="1">
        <f t="array" ref="D39">_xlfn.IFS(C39&lt;=2,8, C39&lt;=5,10, C39&lt;=7,12, TRUE,"")</f>
        <v>10</v>
      </c>
      <c r="E39" t="s">
        <v>139</v>
      </c>
      <c r="F39" t="s">
        <v>152</v>
      </c>
      <c r="G39" t="s">
        <v>159</v>
      </c>
      <c r="H39" t="s">
        <v>160</v>
      </c>
      <c r="I39" t="s">
        <v>161</v>
      </c>
      <c r="J39" t="s">
        <v>26</v>
      </c>
      <c r="K39">
        <v>7</v>
      </c>
      <c r="L39">
        <v>1</v>
      </c>
    </row>
    <row r="40" spans="1:12">
      <c r="A40">
        <v>2026</v>
      </c>
      <c r="B40" s="4" t="s">
        <v>138</v>
      </c>
      <c r="C40">
        <v>4</v>
      </c>
      <c r="D40" cm="1">
        <f t="array" ref="D40">_xlfn.IFS(C40&lt;=2,8, C40&lt;=5,10, C40&lt;=7,12, TRUE,"")</f>
        <v>10</v>
      </c>
      <c r="E40" t="s">
        <v>139</v>
      </c>
      <c r="F40" t="s">
        <v>152</v>
      </c>
      <c r="G40" t="s">
        <v>162</v>
      </c>
      <c r="H40" t="s">
        <v>163</v>
      </c>
      <c r="I40" t="s">
        <v>164</v>
      </c>
      <c r="J40" t="s">
        <v>137</v>
      </c>
      <c r="K40">
        <v>10</v>
      </c>
      <c r="L40">
        <v>2</v>
      </c>
    </row>
    <row r="41" spans="1:12">
      <c r="A41">
        <v>2026</v>
      </c>
      <c r="B41" s="4" t="s">
        <v>138</v>
      </c>
      <c r="C41">
        <v>5</v>
      </c>
      <c r="D41" cm="1">
        <f t="array" ref="D41">_xlfn.IFS(C41&lt;=2,8, C41&lt;=5,10, C41&lt;=7,12, TRUE,"")</f>
        <v>10</v>
      </c>
      <c r="E41" t="s">
        <v>139</v>
      </c>
      <c r="F41" t="s">
        <v>152</v>
      </c>
      <c r="G41" t="s">
        <v>165</v>
      </c>
      <c r="H41" t="s">
        <v>166</v>
      </c>
      <c r="I41" t="s">
        <v>167</v>
      </c>
      <c r="J41" t="s">
        <v>26</v>
      </c>
      <c r="K41">
        <v>12</v>
      </c>
      <c r="L41">
        <v>2</v>
      </c>
    </row>
    <row r="42" spans="1:12">
      <c r="A42">
        <v>2026</v>
      </c>
      <c r="B42" s="4" t="s">
        <v>138</v>
      </c>
      <c r="C42">
        <v>6</v>
      </c>
      <c r="D42" cm="1">
        <f t="array" ref="D42">_xlfn.IFS(C42&lt;=2,8, C42&lt;=5,10, C42&lt;=7,12, TRUE,"")</f>
        <v>12</v>
      </c>
      <c r="E42" t="s">
        <v>139</v>
      </c>
      <c r="F42" t="s">
        <v>152</v>
      </c>
      <c r="G42" t="s">
        <v>168</v>
      </c>
      <c r="H42" t="s">
        <v>169</v>
      </c>
      <c r="I42" t="s">
        <v>170</v>
      </c>
      <c r="J42" t="s">
        <v>26</v>
      </c>
      <c r="K42">
        <v>13</v>
      </c>
      <c r="L42">
        <v>2</v>
      </c>
    </row>
    <row r="43" spans="1:12">
      <c r="A43">
        <v>2026</v>
      </c>
      <c r="B43" s="4" t="s">
        <v>138</v>
      </c>
      <c r="C43">
        <v>7</v>
      </c>
      <c r="D43" cm="1">
        <f t="array" ref="D43">_xlfn.IFS(C43&lt;=2,8, C43&lt;=5,10, C43&lt;=7,12, TRUE,"")</f>
        <v>12</v>
      </c>
      <c r="E43" t="s">
        <v>139</v>
      </c>
      <c r="F43" t="s">
        <v>152</v>
      </c>
      <c r="G43" t="s">
        <v>171</v>
      </c>
      <c r="H43" t="s">
        <v>172</v>
      </c>
      <c r="I43" t="s">
        <v>173</v>
      </c>
      <c r="J43" t="s">
        <v>29</v>
      </c>
      <c r="K43">
        <v>15</v>
      </c>
      <c r="L43">
        <v>5</v>
      </c>
    </row>
    <row r="44" spans="1:12">
      <c r="A44">
        <v>2026</v>
      </c>
      <c r="B44" s="4" t="s">
        <v>140</v>
      </c>
      <c r="C44">
        <v>1</v>
      </c>
      <c r="D44" cm="1">
        <f t="array" ref="D44">_xlfn.IFS(C44&lt;=2,8, C44&lt;=5,10, C44&lt;=7,12, TRUE,"")</f>
        <v>8</v>
      </c>
      <c r="E44" t="s">
        <v>141</v>
      </c>
      <c r="F44" t="s">
        <v>174</v>
      </c>
      <c r="G44" t="s">
        <v>175</v>
      </c>
      <c r="H44" t="s">
        <v>176</v>
      </c>
      <c r="I44" t="s">
        <v>177</v>
      </c>
      <c r="J44" t="s">
        <v>27</v>
      </c>
      <c r="K44">
        <v>8</v>
      </c>
      <c r="L44">
        <v>1</v>
      </c>
    </row>
    <row r="45" spans="1:12">
      <c r="A45">
        <v>2026</v>
      </c>
      <c r="B45" s="4" t="s">
        <v>140</v>
      </c>
      <c r="C45">
        <v>2</v>
      </c>
      <c r="D45" cm="1">
        <f t="array" ref="D45">_xlfn.IFS(C45&lt;=2,8, C45&lt;=5,10, C45&lt;=7,12, TRUE,"")</f>
        <v>8</v>
      </c>
      <c r="E45" t="s">
        <v>141</v>
      </c>
      <c r="F45" t="s">
        <v>174</v>
      </c>
      <c r="G45" t="s">
        <v>178</v>
      </c>
      <c r="H45" t="s">
        <v>179</v>
      </c>
      <c r="I45" t="s">
        <v>180</v>
      </c>
      <c r="J45" t="s">
        <v>28</v>
      </c>
      <c r="K45">
        <v>6</v>
      </c>
      <c r="L45">
        <v>2</v>
      </c>
    </row>
    <row r="46" spans="1:12">
      <c r="A46">
        <v>2026</v>
      </c>
      <c r="B46" s="4" t="s">
        <v>140</v>
      </c>
      <c r="C46">
        <v>3</v>
      </c>
      <c r="D46" cm="1">
        <f t="array" ref="D46">_xlfn.IFS(C46&lt;=2,8, C46&lt;=5,10, C46&lt;=7,12, TRUE,"")</f>
        <v>10</v>
      </c>
      <c r="E46" t="s">
        <v>141</v>
      </c>
      <c r="F46" t="s">
        <v>174</v>
      </c>
      <c r="G46" t="s">
        <v>181</v>
      </c>
      <c r="H46" t="s">
        <v>182</v>
      </c>
      <c r="I46" t="s">
        <v>183</v>
      </c>
      <c r="J46" t="s">
        <v>26</v>
      </c>
      <c r="K46">
        <v>9</v>
      </c>
      <c r="L46">
        <v>1</v>
      </c>
    </row>
    <row r="47" spans="1:12">
      <c r="A47">
        <v>2026</v>
      </c>
      <c r="B47" s="4" t="s">
        <v>140</v>
      </c>
      <c r="C47">
        <v>4</v>
      </c>
      <c r="D47" cm="1">
        <f t="array" ref="D47">_xlfn.IFS(C47&lt;=2,8, C47&lt;=5,10, C47&lt;=7,12, TRUE,"")</f>
        <v>10</v>
      </c>
      <c r="E47" t="s">
        <v>141</v>
      </c>
      <c r="F47" t="s">
        <v>174</v>
      </c>
      <c r="G47" t="s">
        <v>184</v>
      </c>
      <c r="H47" t="s">
        <v>185</v>
      </c>
      <c r="I47" t="s">
        <v>186</v>
      </c>
      <c r="J47" t="s">
        <v>26</v>
      </c>
      <c r="K47">
        <v>10</v>
      </c>
      <c r="L47">
        <v>1</v>
      </c>
    </row>
    <row r="48" spans="1:12">
      <c r="A48">
        <v>2026</v>
      </c>
      <c r="B48" s="4" t="s">
        <v>140</v>
      </c>
      <c r="C48">
        <v>5</v>
      </c>
      <c r="D48" cm="1">
        <f t="array" ref="D48">_xlfn.IFS(C48&lt;=2,8, C48&lt;=5,10, C48&lt;=7,12, TRUE,"")</f>
        <v>10</v>
      </c>
      <c r="E48" t="s">
        <v>141</v>
      </c>
      <c r="F48" t="s">
        <v>174</v>
      </c>
      <c r="G48" t="s">
        <v>187</v>
      </c>
      <c r="H48" t="s">
        <v>188</v>
      </c>
      <c r="I48" t="s">
        <v>189</v>
      </c>
      <c r="J48" t="s">
        <v>28</v>
      </c>
      <c r="K48">
        <v>8</v>
      </c>
      <c r="L48">
        <v>3</v>
      </c>
    </row>
    <row r="49" spans="1:12">
      <c r="A49">
        <v>2026</v>
      </c>
      <c r="B49" s="4" t="s">
        <v>140</v>
      </c>
      <c r="C49">
        <v>6</v>
      </c>
      <c r="D49" cm="1">
        <f t="array" ref="D49">_xlfn.IFS(C49&lt;=2,8, C49&lt;=5,10, C49&lt;=7,12, TRUE,"")</f>
        <v>12</v>
      </c>
      <c r="E49" t="s">
        <v>141</v>
      </c>
      <c r="F49" t="s">
        <v>174</v>
      </c>
      <c r="G49" t="s">
        <v>190</v>
      </c>
      <c r="H49" t="s">
        <v>191</v>
      </c>
      <c r="I49" t="s">
        <v>192</v>
      </c>
      <c r="J49" t="s">
        <v>28</v>
      </c>
      <c r="K49">
        <v>13</v>
      </c>
      <c r="L49">
        <v>4</v>
      </c>
    </row>
    <row r="50" spans="1:12">
      <c r="A50">
        <v>2026</v>
      </c>
      <c r="B50" s="4" t="s">
        <v>140</v>
      </c>
      <c r="C50">
        <v>7</v>
      </c>
      <c r="D50" cm="1">
        <f t="array" ref="D50">_xlfn.IFS(C50&lt;=2,8, C50&lt;=5,10, C50&lt;=7,12, TRUE,"")</f>
        <v>12</v>
      </c>
      <c r="E50" t="s">
        <v>141</v>
      </c>
      <c r="F50" t="s">
        <v>174</v>
      </c>
      <c r="G50" t="s">
        <v>193</v>
      </c>
      <c r="H50" t="s">
        <v>194</v>
      </c>
      <c r="I50" t="s">
        <v>195</v>
      </c>
      <c r="J50" t="s">
        <v>29</v>
      </c>
      <c r="K50">
        <v>14</v>
      </c>
      <c r="L50">
        <v>4</v>
      </c>
    </row>
    <row r="51" spans="1:12">
      <c r="A51">
        <v>2026</v>
      </c>
      <c r="B51" s="4" t="s">
        <v>142</v>
      </c>
      <c r="C51">
        <v>1</v>
      </c>
      <c r="D51" cm="1">
        <f t="array" ref="D51">_xlfn.IFS(C51&lt;=2,8, C51&lt;=5,10, C51&lt;=7,12, TRUE,"")</f>
        <v>8</v>
      </c>
      <c r="E51" t="s">
        <v>143</v>
      </c>
      <c r="F51" t="s">
        <v>196</v>
      </c>
      <c r="G51" t="s">
        <v>197</v>
      </c>
      <c r="H51" t="s">
        <v>198</v>
      </c>
      <c r="I51" t="s">
        <v>199</v>
      </c>
      <c r="J51" t="s">
        <v>26</v>
      </c>
      <c r="K51">
        <v>6</v>
      </c>
      <c r="L51">
        <v>1</v>
      </c>
    </row>
    <row r="52" spans="1:12">
      <c r="A52">
        <v>2026</v>
      </c>
      <c r="B52" s="4" t="s">
        <v>142</v>
      </c>
      <c r="C52">
        <v>2</v>
      </c>
      <c r="D52" cm="1">
        <f t="array" ref="D52">_xlfn.IFS(C52&lt;=2,8, C52&lt;=5,10, C52&lt;=7,12, TRUE,"")</f>
        <v>8</v>
      </c>
      <c r="E52" t="s">
        <v>143</v>
      </c>
      <c r="F52" t="s">
        <v>196</v>
      </c>
      <c r="G52" t="s">
        <v>200</v>
      </c>
      <c r="H52" t="s">
        <v>201</v>
      </c>
      <c r="I52" t="s">
        <v>202</v>
      </c>
      <c r="J52" t="s">
        <v>26</v>
      </c>
      <c r="K52">
        <v>6</v>
      </c>
      <c r="L52">
        <v>2</v>
      </c>
    </row>
    <row r="53" spans="1:12">
      <c r="A53">
        <v>2026</v>
      </c>
      <c r="B53" s="4" t="s">
        <v>142</v>
      </c>
      <c r="C53">
        <v>3</v>
      </c>
      <c r="D53" cm="1">
        <f t="array" ref="D53">_xlfn.IFS(C53&lt;=2,8, C53&lt;=5,10, C53&lt;=7,12, TRUE,"")</f>
        <v>10</v>
      </c>
      <c r="E53" t="s">
        <v>143</v>
      </c>
      <c r="F53" t="s">
        <v>196</v>
      </c>
      <c r="G53" t="s">
        <v>203</v>
      </c>
      <c r="H53" t="s">
        <v>204</v>
      </c>
      <c r="I53" t="s">
        <v>205</v>
      </c>
      <c r="J53" t="s">
        <v>26</v>
      </c>
      <c r="K53">
        <v>9</v>
      </c>
      <c r="L53">
        <v>2</v>
      </c>
    </row>
    <row r="54" spans="1:12">
      <c r="A54">
        <v>2026</v>
      </c>
      <c r="B54" s="4" t="s">
        <v>142</v>
      </c>
      <c r="C54">
        <v>4</v>
      </c>
      <c r="D54" cm="1">
        <f t="array" ref="D54">_xlfn.IFS(C54&lt;=2,8, C54&lt;=5,10, C54&lt;=7,12, TRUE,"")</f>
        <v>10</v>
      </c>
      <c r="E54" t="s">
        <v>143</v>
      </c>
      <c r="F54" t="s">
        <v>196</v>
      </c>
      <c r="G54" t="s">
        <v>206</v>
      </c>
      <c r="H54" t="s">
        <v>207</v>
      </c>
      <c r="I54" t="s">
        <v>208</v>
      </c>
      <c r="J54" t="s">
        <v>28</v>
      </c>
      <c r="K54">
        <v>9</v>
      </c>
      <c r="L54">
        <v>3</v>
      </c>
    </row>
    <row r="55" spans="1:12">
      <c r="A55">
        <v>2026</v>
      </c>
      <c r="B55" s="4" t="s">
        <v>142</v>
      </c>
      <c r="C55">
        <v>5</v>
      </c>
      <c r="D55" cm="1">
        <f t="array" ref="D55">_xlfn.IFS(C55&lt;=2,8, C55&lt;=5,10, C55&lt;=7,12, TRUE,"")</f>
        <v>10</v>
      </c>
      <c r="E55" t="s">
        <v>143</v>
      </c>
      <c r="F55" t="s">
        <v>196</v>
      </c>
      <c r="G55" t="s">
        <v>209</v>
      </c>
      <c r="H55" t="s">
        <v>210</v>
      </c>
      <c r="I55" t="s">
        <v>211</v>
      </c>
      <c r="J55" t="s">
        <v>27</v>
      </c>
      <c r="K55">
        <v>11</v>
      </c>
      <c r="L55">
        <v>2</v>
      </c>
    </row>
    <row r="56" spans="1:12">
      <c r="A56">
        <v>2026</v>
      </c>
      <c r="B56" s="4" t="s">
        <v>142</v>
      </c>
      <c r="C56">
        <v>6</v>
      </c>
      <c r="D56" cm="1">
        <f t="array" ref="D56">_xlfn.IFS(C56&lt;=2,8, C56&lt;=5,10, C56&lt;=7,12, TRUE,"")</f>
        <v>12</v>
      </c>
      <c r="E56" t="s">
        <v>143</v>
      </c>
      <c r="F56" t="s">
        <v>196</v>
      </c>
      <c r="G56" t="s">
        <v>212</v>
      </c>
      <c r="H56" t="s">
        <v>213</v>
      </c>
      <c r="I56" t="s">
        <v>214</v>
      </c>
      <c r="J56" t="s">
        <v>28</v>
      </c>
      <c r="K56">
        <v>12</v>
      </c>
      <c r="L56">
        <v>4</v>
      </c>
    </row>
    <row r="57" spans="1:12">
      <c r="A57">
        <v>2026</v>
      </c>
      <c r="B57" s="4" t="s">
        <v>142</v>
      </c>
      <c r="C57">
        <v>7</v>
      </c>
      <c r="D57" cm="1">
        <f t="array" ref="D57">_xlfn.IFS(C57&lt;=2,8, C57&lt;=5,10, C57&lt;=7,12, TRUE,"")</f>
        <v>12</v>
      </c>
      <c r="E57" t="s">
        <v>143</v>
      </c>
      <c r="F57" t="s">
        <v>196</v>
      </c>
      <c r="G57" t="s">
        <v>215</v>
      </c>
      <c r="H57" t="s">
        <v>216</v>
      </c>
      <c r="I57" t="s">
        <v>217</v>
      </c>
      <c r="J57" t="s">
        <v>29</v>
      </c>
      <c r="K57">
        <v>14</v>
      </c>
      <c r="L57">
        <v>4</v>
      </c>
    </row>
    <row r="58" spans="1:12">
      <c r="A58">
        <v>2026</v>
      </c>
      <c r="B58" s="4" t="s">
        <v>144</v>
      </c>
      <c r="C58">
        <v>1</v>
      </c>
      <c r="D58" cm="1">
        <f t="array" ref="D58">_xlfn.IFS(C58&lt;=2,8, C58&lt;=5,10, C58&lt;=7,12, TRUE,"")</f>
        <v>8</v>
      </c>
      <c r="E58" t="s">
        <v>145</v>
      </c>
      <c r="F58" t="s">
        <v>218</v>
      </c>
      <c r="G58" t="s">
        <v>219</v>
      </c>
      <c r="H58" t="s">
        <v>220</v>
      </c>
      <c r="I58" t="s">
        <v>221</v>
      </c>
      <c r="J58" t="s">
        <v>28</v>
      </c>
      <c r="K58">
        <v>8</v>
      </c>
      <c r="L58">
        <v>2</v>
      </c>
    </row>
    <row r="59" spans="1:12">
      <c r="A59">
        <v>2026</v>
      </c>
      <c r="B59" s="4" t="s">
        <v>144</v>
      </c>
      <c r="C59">
        <v>2</v>
      </c>
      <c r="D59" cm="1">
        <f t="array" ref="D59">_xlfn.IFS(C59&lt;=2,8, C59&lt;=5,10, C59&lt;=7,12, TRUE,"")</f>
        <v>8</v>
      </c>
      <c r="E59" t="s">
        <v>145</v>
      </c>
      <c r="F59" t="s">
        <v>218</v>
      </c>
      <c r="G59" t="s">
        <v>222</v>
      </c>
      <c r="H59" t="s">
        <v>223</v>
      </c>
      <c r="I59" t="s">
        <v>224</v>
      </c>
      <c r="J59" t="s">
        <v>26</v>
      </c>
      <c r="K59">
        <v>9</v>
      </c>
      <c r="L59">
        <v>1</v>
      </c>
    </row>
    <row r="60" spans="1:12">
      <c r="A60">
        <v>2026</v>
      </c>
      <c r="B60" s="4" t="s">
        <v>144</v>
      </c>
      <c r="C60">
        <v>3</v>
      </c>
      <c r="D60" cm="1">
        <f t="array" ref="D60">_xlfn.IFS(C60&lt;=2,8, C60&lt;=5,10, C60&lt;=7,12, TRUE,"")</f>
        <v>10</v>
      </c>
      <c r="E60" t="s">
        <v>145</v>
      </c>
      <c r="F60" t="s">
        <v>218</v>
      </c>
      <c r="G60" t="s">
        <v>225</v>
      </c>
      <c r="H60" t="s">
        <v>226</v>
      </c>
      <c r="I60" t="s">
        <v>227</v>
      </c>
      <c r="J60" t="s">
        <v>28</v>
      </c>
      <c r="K60">
        <v>9</v>
      </c>
      <c r="L60">
        <v>2</v>
      </c>
    </row>
    <row r="61" spans="1:12">
      <c r="A61">
        <v>2026</v>
      </c>
      <c r="B61" s="4" t="s">
        <v>144</v>
      </c>
      <c r="C61">
        <v>4</v>
      </c>
      <c r="D61" cm="1">
        <f t="array" ref="D61">_xlfn.IFS(C61&lt;=2,8, C61&lt;=5,10, C61&lt;=7,12, TRUE,"")</f>
        <v>10</v>
      </c>
      <c r="E61" t="s">
        <v>145</v>
      </c>
      <c r="F61" t="s">
        <v>218</v>
      </c>
      <c r="G61" t="s">
        <v>228</v>
      </c>
      <c r="H61" t="s">
        <v>229</v>
      </c>
      <c r="I61" t="s">
        <v>230</v>
      </c>
      <c r="J61" t="s">
        <v>26</v>
      </c>
      <c r="K61">
        <v>7</v>
      </c>
      <c r="L61">
        <v>1</v>
      </c>
    </row>
    <row r="62" spans="1:12">
      <c r="A62">
        <v>2026</v>
      </c>
      <c r="B62" s="4" t="s">
        <v>144</v>
      </c>
      <c r="C62">
        <v>5</v>
      </c>
      <c r="D62" cm="1">
        <f t="array" ref="D62">_xlfn.IFS(C62&lt;=2,8, C62&lt;=5,10, C62&lt;=7,12, TRUE,"")</f>
        <v>10</v>
      </c>
      <c r="E62" t="s">
        <v>145</v>
      </c>
      <c r="F62" t="s">
        <v>218</v>
      </c>
      <c r="G62" t="s">
        <v>231</v>
      </c>
      <c r="H62" t="s">
        <v>232</v>
      </c>
      <c r="I62" t="s">
        <v>233</v>
      </c>
      <c r="J62" t="s">
        <v>29</v>
      </c>
      <c r="K62">
        <v>12</v>
      </c>
      <c r="L62">
        <v>5</v>
      </c>
    </row>
    <row r="63" spans="1:12">
      <c r="A63">
        <v>2026</v>
      </c>
      <c r="B63" s="4" t="s">
        <v>144</v>
      </c>
      <c r="C63">
        <v>6</v>
      </c>
      <c r="D63" cm="1">
        <f t="array" ref="D63">_xlfn.IFS(C63&lt;=2,8, C63&lt;=5,10, C63&lt;=7,12, TRUE,"")</f>
        <v>12</v>
      </c>
      <c r="E63" t="s">
        <v>145</v>
      </c>
      <c r="F63" t="s">
        <v>218</v>
      </c>
      <c r="G63" t="s">
        <v>234</v>
      </c>
      <c r="H63" t="s">
        <v>235</v>
      </c>
      <c r="I63" t="s">
        <v>236</v>
      </c>
      <c r="J63" t="s">
        <v>28</v>
      </c>
      <c r="K63">
        <v>13</v>
      </c>
      <c r="L63">
        <v>5</v>
      </c>
    </row>
    <row r="64" spans="1:12">
      <c r="A64">
        <v>2026</v>
      </c>
      <c r="B64" s="4" t="s">
        <v>144</v>
      </c>
      <c r="C64">
        <v>7</v>
      </c>
      <c r="D64" cm="1">
        <f t="array" ref="D64">_xlfn.IFS(C64&lt;=2,8, C64&lt;=5,10, C64&lt;=7,12, TRUE,"")</f>
        <v>12</v>
      </c>
      <c r="E64" t="s">
        <v>145</v>
      </c>
      <c r="F64" t="s">
        <v>218</v>
      </c>
      <c r="G64" t="s">
        <v>237</v>
      </c>
      <c r="H64" t="s">
        <v>238</v>
      </c>
      <c r="I64" t="s">
        <v>239</v>
      </c>
      <c r="J64" t="s">
        <v>28</v>
      </c>
      <c r="K64">
        <v>17</v>
      </c>
      <c r="L64">
        <v>5</v>
      </c>
    </row>
    <row r="65" spans="1:12">
      <c r="A65">
        <v>2026</v>
      </c>
      <c r="B65" s="4" t="s">
        <v>146</v>
      </c>
      <c r="C65">
        <v>1</v>
      </c>
      <c r="D65" cm="1">
        <f t="array" ref="D65">_xlfn.IFS(C65&lt;=2,8, C65&lt;=5,10, C65&lt;=7,12, TRUE,"")</f>
        <v>8</v>
      </c>
      <c r="E65" t="s">
        <v>147</v>
      </c>
      <c r="F65" t="s">
        <v>240</v>
      </c>
      <c r="G65" t="s">
        <v>241</v>
      </c>
      <c r="H65" t="s">
        <v>242</v>
      </c>
      <c r="I65" t="s">
        <v>243</v>
      </c>
      <c r="J65" t="s">
        <v>26</v>
      </c>
      <c r="K65">
        <v>6</v>
      </c>
      <c r="L65">
        <v>1</v>
      </c>
    </row>
    <row r="66" spans="1:12">
      <c r="A66">
        <v>2026</v>
      </c>
      <c r="B66" s="4" t="s">
        <v>146</v>
      </c>
      <c r="C66">
        <v>2</v>
      </c>
      <c r="D66" cm="1">
        <f t="array" ref="D66">_xlfn.IFS(C66&lt;=2,8, C66&lt;=5,10, C66&lt;=7,12, TRUE,"")</f>
        <v>8</v>
      </c>
      <c r="E66" t="s">
        <v>147</v>
      </c>
      <c r="F66" t="s">
        <v>240</v>
      </c>
      <c r="G66" t="s">
        <v>244</v>
      </c>
      <c r="H66" t="s">
        <v>245</v>
      </c>
      <c r="I66" t="s">
        <v>246</v>
      </c>
      <c r="J66" t="s">
        <v>27</v>
      </c>
      <c r="K66">
        <v>8</v>
      </c>
      <c r="L66">
        <v>1</v>
      </c>
    </row>
    <row r="67" spans="1:12">
      <c r="A67">
        <v>2026</v>
      </c>
      <c r="B67" s="4" t="s">
        <v>146</v>
      </c>
      <c r="C67">
        <v>3</v>
      </c>
      <c r="D67" cm="1">
        <f t="array" ref="D67">_xlfn.IFS(C67&lt;=2,8, C67&lt;=5,10, C67&lt;=7,12, TRUE,"")</f>
        <v>10</v>
      </c>
      <c r="E67" t="s">
        <v>147</v>
      </c>
      <c r="F67" t="s">
        <v>240</v>
      </c>
      <c r="G67" t="s">
        <v>247</v>
      </c>
      <c r="H67" t="s">
        <v>248</v>
      </c>
      <c r="I67" t="s">
        <v>249</v>
      </c>
      <c r="J67" t="s">
        <v>28</v>
      </c>
      <c r="K67">
        <v>10</v>
      </c>
      <c r="L67">
        <v>2</v>
      </c>
    </row>
    <row r="68" spans="1:12">
      <c r="A68">
        <v>2026</v>
      </c>
      <c r="B68" s="4" t="s">
        <v>146</v>
      </c>
      <c r="C68">
        <v>4</v>
      </c>
      <c r="D68" cm="1">
        <f t="array" ref="D68">_xlfn.IFS(C68&lt;=2,8, C68&lt;=5,10, C68&lt;=7,12, TRUE,"")</f>
        <v>10</v>
      </c>
      <c r="E68" t="s">
        <v>147</v>
      </c>
      <c r="F68" t="s">
        <v>240</v>
      </c>
      <c r="G68" t="s">
        <v>250</v>
      </c>
      <c r="H68" t="s">
        <v>251</v>
      </c>
      <c r="I68" t="s">
        <v>252</v>
      </c>
      <c r="J68" t="s">
        <v>26</v>
      </c>
      <c r="K68">
        <v>8</v>
      </c>
      <c r="L68">
        <v>1</v>
      </c>
    </row>
    <row r="69" spans="1:12">
      <c r="A69">
        <v>2026</v>
      </c>
      <c r="B69" s="4" t="s">
        <v>146</v>
      </c>
      <c r="C69">
        <v>5</v>
      </c>
      <c r="D69" cm="1">
        <f t="array" ref="D69">_xlfn.IFS(C69&lt;=2,8, C69&lt;=5,10, C69&lt;=7,12, TRUE,"")</f>
        <v>10</v>
      </c>
      <c r="E69" t="s">
        <v>147</v>
      </c>
      <c r="F69" t="s">
        <v>240</v>
      </c>
      <c r="G69" t="s">
        <v>253</v>
      </c>
      <c r="H69" t="s">
        <v>254</v>
      </c>
      <c r="I69" t="s">
        <v>255</v>
      </c>
      <c r="J69" t="s">
        <v>26</v>
      </c>
      <c r="K69">
        <v>10</v>
      </c>
      <c r="L69">
        <v>2</v>
      </c>
    </row>
    <row r="70" spans="1:12">
      <c r="A70">
        <v>2026</v>
      </c>
      <c r="B70" s="4" t="s">
        <v>146</v>
      </c>
      <c r="C70">
        <v>6</v>
      </c>
      <c r="D70" cm="1">
        <f t="array" ref="D70">_xlfn.IFS(C70&lt;=2,8, C70&lt;=5,10, C70&lt;=7,12, TRUE,"")</f>
        <v>12</v>
      </c>
      <c r="E70" t="s">
        <v>147</v>
      </c>
      <c r="F70" t="s">
        <v>240</v>
      </c>
      <c r="G70" t="s">
        <v>256</v>
      </c>
      <c r="H70" t="s">
        <v>257</v>
      </c>
      <c r="I70" t="s">
        <v>258</v>
      </c>
      <c r="J70" t="s">
        <v>28</v>
      </c>
      <c r="K70">
        <v>9</v>
      </c>
      <c r="L70">
        <v>2</v>
      </c>
    </row>
    <row r="71" spans="1:12">
      <c r="A71">
        <v>2026</v>
      </c>
      <c r="B71" s="4" t="s">
        <v>146</v>
      </c>
      <c r="C71">
        <v>7</v>
      </c>
      <c r="D71" cm="1">
        <f t="array" ref="D71">_xlfn.IFS(C71&lt;=2,8, C71&lt;=5,10, C71&lt;=7,12, TRUE,"")</f>
        <v>12</v>
      </c>
      <c r="E71" t="s">
        <v>147</v>
      </c>
      <c r="F71" t="s">
        <v>240</v>
      </c>
      <c r="G71" t="s">
        <v>259</v>
      </c>
      <c r="H71" t="s">
        <v>260</v>
      </c>
      <c r="I71" t="s">
        <v>261</v>
      </c>
      <c r="J71" t="s">
        <v>29</v>
      </c>
      <c r="K71">
        <v>17</v>
      </c>
      <c r="L71">
        <v>5</v>
      </c>
    </row>
    <row r="72" spans="1:12">
      <c r="A72">
        <v>2026</v>
      </c>
      <c r="B72" s="4" t="s">
        <v>148</v>
      </c>
      <c r="C72">
        <v>1</v>
      </c>
      <c r="D72" cm="1">
        <f t="array" ref="D72">_xlfn.IFS(C72&lt;=2,8, C72&lt;=5,10, C72&lt;=7,12, TRUE,"")</f>
        <v>8</v>
      </c>
      <c r="E72" t="s">
        <v>149</v>
      </c>
      <c r="F72" t="s">
        <v>262</v>
      </c>
      <c r="G72" t="s">
        <v>263</v>
      </c>
      <c r="H72" t="s">
        <v>264</v>
      </c>
      <c r="I72" t="s">
        <v>265</v>
      </c>
      <c r="J72" t="s">
        <v>28</v>
      </c>
      <c r="K72">
        <v>9</v>
      </c>
      <c r="L72">
        <v>3</v>
      </c>
    </row>
    <row r="73" spans="1:12">
      <c r="A73">
        <v>2026</v>
      </c>
      <c r="B73" s="4" t="s">
        <v>148</v>
      </c>
      <c r="C73">
        <v>2</v>
      </c>
      <c r="D73" cm="1">
        <f t="array" ref="D73">_xlfn.IFS(C73&lt;=2,8, C73&lt;=5,10, C73&lt;=7,12, TRUE,"")</f>
        <v>8</v>
      </c>
      <c r="E73" t="s">
        <v>149</v>
      </c>
      <c r="F73" t="s">
        <v>262</v>
      </c>
      <c r="G73" t="s">
        <v>266</v>
      </c>
      <c r="H73" t="s">
        <v>267</v>
      </c>
      <c r="I73" t="s">
        <v>268</v>
      </c>
      <c r="J73" t="s">
        <v>28</v>
      </c>
      <c r="K73">
        <v>8</v>
      </c>
      <c r="L73">
        <v>3</v>
      </c>
    </row>
    <row r="74" spans="1:12">
      <c r="A74">
        <v>2026</v>
      </c>
      <c r="B74" s="4" t="s">
        <v>148</v>
      </c>
      <c r="C74">
        <v>3</v>
      </c>
      <c r="D74" cm="1">
        <f t="array" ref="D74">_xlfn.IFS(C74&lt;=2,8, C74&lt;=5,10, C74&lt;=7,12, TRUE,"")</f>
        <v>10</v>
      </c>
      <c r="E74" t="s">
        <v>149</v>
      </c>
      <c r="F74" t="s">
        <v>262</v>
      </c>
      <c r="G74" t="s">
        <v>269</v>
      </c>
      <c r="H74" t="s">
        <v>270</v>
      </c>
      <c r="I74" t="s">
        <v>271</v>
      </c>
      <c r="J74" t="s">
        <v>28</v>
      </c>
      <c r="K74">
        <v>11</v>
      </c>
      <c r="L74">
        <v>3</v>
      </c>
    </row>
    <row r="75" spans="1:12">
      <c r="A75">
        <v>2026</v>
      </c>
      <c r="B75" s="4" t="s">
        <v>148</v>
      </c>
      <c r="C75">
        <v>4</v>
      </c>
      <c r="D75" cm="1">
        <f t="array" ref="D75">_xlfn.IFS(C75&lt;=2,8, C75&lt;=5,10, C75&lt;=7,12, TRUE,"")</f>
        <v>10</v>
      </c>
      <c r="E75" t="s">
        <v>149</v>
      </c>
      <c r="F75" t="s">
        <v>262</v>
      </c>
      <c r="G75" t="s">
        <v>272</v>
      </c>
      <c r="H75" t="s">
        <v>273</v>
      </c>
      <c r="I75" t="s">
        <v>274</v>
      </c>
      <c r="J75" t="s">
        <v>28</v>
      </c>
      <c r="K75">
        <v>9</v>
      </c>
      <c r="L75">
        <v>3</v>
      </c>
    </row>
    <row r="76" spans="1:12">
      <c r="A76">
        <v>2026</v>
      </c>
      <c r="B76" s="4" t="s">
        <v>148</v>
      </c>
      <c r="C76">
        <v>5</v>
      </c>
      <c r="D76" cm="1">
        <f t="array" ref="D76">_xlfn.IFS(C76&lt;=2,8, C76&lt;=5,10, C76&lt;=7,12, TRUE,"")</f>
        <v>10</v>
      </c>
      <c r="E76" t="s">
        <v>149</v>
      </c>
      <c r="F76" t="s">
        <v>262</v>
      </c>
      <c r="G76" t="s">
        <v>275</v>
      </c>
      <c r="H76" t="s">
        <v>276</v>
      </c>
      <c r="I76" t="s">
        <v>277</v>
      </c>
      <c r="J76" t="s">
        <v>28</v>
      </c>
      <c r="K76">
        <v>9</v>
      </c>
      <c r="L76">
        <v>2</v>
      </c>
    </row>
    <row r="77" spans="1:12">
      <c r="A77">
        <v>2026</v>
      </c>
      <c r="B77" s="4" t="s">
        <v>148</v>
      </c>
      <c r="C77">
        <v>6</v>
      </c>
      <c r="D77" cm="1">
        <f t="array" ref="D77">_xlfn.IFS(C77&lt;=2,8, C77&lt;=5,10, C77&lt;=7,12, TRUE,"")</f>
        <v>12</v>
      </c>
      <c r="E77" t="s">
        <v>149</v>
      </c>
      <c r="F77" t="s">
        <v>262</v>
      </c>
      <c r="G77" t="s">
        <v>278</v>
      </c>
      <c r="H77" t="s">
        <v>279</v>
      </c>
      <c r="I77" t="s">
        <v>280</v>
      </c>
      <c r="J77" t="s">
        <v>27</v>
      </c>
      <c r="K77">
        <v>13</v>
      </c>
      <c r="L77">
        <v>3</v>
      </c>
    </row>
    <row r="78" spans="1:12">
      <c r="A78">
        <v>2026</v>
      </c>
      <c r="B78" s="4" t="s">
        <v>148</v>
      </c>
      <c r="C78">
        <v>7</v>
      </c>
      <c r="D78" cm="1">
        <f t="array" ref="D78">_xlfn.IFS(C78&lt;=2,8, C78&lt;=5,10, C78&lt;=7,12, TRUE,"")</f>
        <v>12</v>
      </c>
      <c r="E78" t="s">
        <v>149</v>
      </c>
      <c r="F78" t="s">
        <v>262</v>
      </c>
      <c r="G78" t="s">
        <v>281</v>
      </c>
      <c r="H78" t="s">
        <v>282</v>
      </c>
      <c r="I78" t="s">
        <v>283</v>
      </c>
      <c r="J78" t="s">
        <v>29</v>
      </c>
      <c r="K78">
        <v>14</v>
      </c>
      <c r="L78">
        <v>4</v>
      </c>
    </row>
    <row r="79" spans="1:12">
      <c r="A79">
        <v>2026</v>
      </c>
      <c r="B79" s="4" t="s">
        <v>150</v>
      </c>
      <c r="C79">
        <v>1</v>
      </c>
      <c r="D79" cm="1">
        <f t="array" ref="D79">_xlfn.IFS(C79&lt;=2,8, C79&lt;=5,10, C79&lt;=7,12, TRUE,"")</f>
        <v>8</v>
      </c>
      <c r="E79" t="s">
        <v>143</v>
      </c>
      <c r="F79" t="s">
        <v>284</v>
      </c>
      <c r="G79" t="s">
        <v>285</v>
      </c>
      <c r="H79" t="s">
        <v>286</v>
      </c>
      <c r="I79" t="s">
        <v>287</v>
      </c>
      <c r="J79" t="s">
        <v>26</v>
      </c>
      <c r="K79">
        <v>4</v>
      </c>
      <c r="L79">
        <v>1</v>
      </c>
    </row>
    <row r="80" spans="1:12">
      <c r="A80">
        <v>2026</v>
      </c>
      <c r="B80" s="4" t="s">
        <v>150</v>
      </c>
      <c r="C80">
        <v>2</v>
      </c>
      <c r="D80" cm="1">
        <f t="array" ref="D80">_xlfn.IFS(C80&lt;=2,8, C80&lt;=5,10, C80&lt;=7,12, TRUE,"")</f>
        <v>8</v>
      </c>
      <c r="E80" t="s">
        <v>143</v>
      </c>
      <c r="F80" t="s">
        <v>284</v>
      </c>
      <c r="G80" t="s">
        <v>288</v>
      </c>
      <c r="H80" t="s">
        <v>289</v>
      </c>
      <c r="I80" t="s">
        <v>290</v>
      </c>
      <c r="J80" t="s">
        <v>27</v>
      </c>
      <c r="K80">
        <v>8</v>
      </c>
      <c r="L80">
        <v>1</v>
      </c>
    </row>
    <row r="81" spans="1:12">
      <c r="A81">
        <v>2026</v>
      </c>
      <c r="B81" s="4" t="s">
        <v>150</v>
      </c>
      <c r="C81">
        <v>3</v>
      </c>
      <c r="D81" cm="1">
        <f t="array" ref="D81">_xlfn.IFS(C81&lt;=2,8, C81&lt;=5,10, C81&lt;=7,12, TRUE,"")</f>
        <v>10</v>
      </c>
      <c r="E81" t="s">
        <v>143</v>
      </c>
      <c r="F81" t="s">
        <v>284</v>
      </c>
      <c r="G81" t="s">
        <v>291</v>
      </c>
      <c r="H81" t="s">
        <v>292</v>
      </c>
      <c r="I81" t="s">
        <v>293</v>
      </c>
      <c r="J81" t="s">
        <v>26</v>
      </c>
      <c r="K81">
        <v>6</v>
      </c>
      <c r="L81">
        <v>2</v>
      </c>
    </row>
    <row r="82" spans="1:12">
      <c r="A82">
        <v>2026</v>
      </c>
      <c r="B82" s="4" t="s">
        <v>150</v>
      </c>
      <c r="C82">
        <v>4</v>
      </c>
      <c r="D82" cm="1">
        <f t="array" ref="D82">_xlfn.IFS(C82&lt;=2,8, C82&lt;=5,10, C82&lt;=7,12, TRUE,"")</f>
        <v>10</v>
      </c>
      <c r="E82" t="s">
        <v>143</v>
      </c>
      <c r="F82" t="s">
        <v>284</v>
      </c>
      <c r="G82" t="s">
        <v>294</v>
      </c>
      <c r="H82" t="s">
        <v>295</v>
      </c>
      <c r="I82" t="s">
        <v>296</v>
      </c>
      <c r="J82" t="s">
        <v>297</v>
      </c>
      <c r="K82">
        <v>13</v>
      </c>
      <c r="L82">
        <v>4</v>
      </c>
    </row>
    <row r="83" spans="1:12">
      <c r="A83">
        <v>2026</v>
      </c>
      <c r="B83" s="4" t="s">
        <v>150</v>
      </c>
      <c r="C83">
        <v>5</v>
      </c>
      <c r="D83" cm="1">
        <f t="array" ref="D83">_xlfn.IFS(C83&lt;=2,8, C83&lt;=5,10, C83&lt;=7,12, TRUE,"")</f>
        <v>10</v>
      </c>
      <c r="E83" t="s">
        <v>143</v>
      </c>
      <c r="F83" t="s">
        <v>284</v>
      </c>
      <c r="G83" t="s">
        <v>298</v>
      </c>
      <c r="H83" t="s">
        <v>299</v>
      </c>
      <c r="I83" t="s">
        <v>300</v>
      </c>
      <c r="J83" t="s">
        <v>28</v>
      </c>
      <c r="K83">
        <v>11</v>
      </c>
      <c r="L83">
        <v>4</v>
      </c>
    </row>
    <row r="84" spans="1:12">
      <c r="A84">
        <v>2026</v>
      </c>
      <c r="B84" s="4" t="s">
        <v>150</v>
      </c>
      <c r="C84">
        <v>6</v>
      </c>
      <c r="D84" cm="1">
        <f t="array" ref="D84">_xlfn.IFS(C84&lt;=2,8, C84&lt;=5,10, C84&lt;=7,12, TRUE,"")</f>
        <v>12</v>
      </c>
      <c r="E84" t="s">
        <v>143</v>
      </c>
      <c r="F84" t="s">
        <v>284</v>
      </c>
      <c r="G84" t="s">
        <v>301</v>
      </c>
      <c r="H84" t="s">
        <v>302</v>
      </c>
      <c r="I84" t="s">
        <v>303</v>
      </c>
      <c r="J84" t="s">
        <v>27</v>
      </c>
      <c r="K84">
        <v>10</v>
      </c>
      <c r="L84">
        <v>2</v>
      </c>
    </row>
    <row r="85" spans="1:12">
      <c r="A85">
        <v>2026</v>
      </c>
      <c r="B85" s="4" t="s">
        <v>150</v>
      </c>
      <c r="C85">
        <v>7</v>
      </c>
      <c r="D85" cm="1">
        <f t="array" ref="D85">_xlfn.IFS(C85&lt;=2,8, C85&lt;=5,10, C85&lt;=7,12, TRUE,"")</f>
        <v>12</v>
      </c>
      <c r="E85" t="s">
        <v>143</v>
      </c>
      <c r="F85" t="s">
        <v>284</v>
      </c>
      <c r="G85" t="s">
        <v>304</v>
      </c>
      <c r="H85" t="s">
        <v>305</v>
      </c>
      <c r="I85" t="s">
        <v>306</v>
      </c>
      <c r="J85" t="s">
        <v>29</v>
      </c>
      <c r="K85">
        <v>14</v>
      </c>
      <c r="L85">
        <v>4</v>
      </c>
    </row>
    <row r="86" spans="1:12">
      <c r="A86">
        <v>2026</v>
      </c>
      <c r="B86" s="4" t="s">
        <v>151</v>
      </c>
      <c r="C86">
        <v>1</v>
      </c>
      <c r="D86" cm="1">
        <f t="array" ref="D86">_xlfn.IFS(C86&lt;=2,8, C86&lt;=5,10, C86&lt;=7,12, TRUE,"")</f>
        <v>8</v>
      </c>
      <c r="E86" t="s">
        <v>141</v>
      </c>
      <c r="F86" t="s">
        <v>307</v>
      </c>
      <c r="G86" t="s">
        <v>308</v>
      </c>
      <c r="H86" t="s">
        <v>309</v>
      </c>
      <c r="I86" t="s">
        <v>310</v>
      </c>
      <c r="J86" t="s">
        <v>26</v>
      </c>
      <c r="K86">
        <v>4</v>
      </c>
      <c r="L86">
        <v>1</v>
      </c>
    </row>
    <row r="87" spans="1:12">
      <c r="A87">
        <v>2026</v>
      </c>
      <c r="B87" s="4" t="s">
        <v>151</v>
      </c>
      <c r="C87">
        <v>2</v>
      </c>
      <c r="D87" cm="1">
        <f t="array" ref="D87">_xlfn.IFS(C87&lt;=2,8, C87&lt;=5,10, C87&lt;=7,12, TRUE,"")</f>
        <v>8</v>
      </c>
      <c r="E87" t="s">
        <v>141</v>
      </c>
      <c r="F87" t="s">
        <v>307</v>
      </c>
      <c r="G87" t="s">
        <v>311</v>
      </c>
      <c r="H87" t="s">
        <v>312</v>
      </c>
      <c r="I87" t="s">
        <v>313</v>
      </c>
      <c r="J87" t="s">
        <v>26</v>
      </c>
      <c r="K87">
        <v>7</v>
      </c>
      <c r="L87">
        <v>1</v>
      </c>
    </row>
    <row r="88" spans="1:12">
      <c r="A88">
        <v>2026</v>
      </c>
      <c r="B88" s="4" t="s">
        <v>151</v>
      </c>
      <c r="C88">
        <v>3</v>
      </c>
      <c r="D88" cm="1">
        <f t="array" ref="D88">_xlfn.IFS(C88&lt;=2,8, C88&lt;=5,10, C88&lt;=7,12, TRUE,"")</f>
        <v>10</v>
      </c>
      <c r="E88" t="s">
        <v>141</v>
      </c>
      <c r="F88" t="s">
        <v>307</v>
      </c>
      <c r="G88" t="s">
        <v>314</v>
      </c>
      <c r="H88" t="s">
        <v>315</v>
      </c>
      <c r="I88" t="s">
        <v>316</v>
      </c>
      <c r="J88" t="s">
        <v>28</v>
      </c>
      <c r="K88">
        <v>9</v>
      </c>
      <c r="L88">
        <v>2</v>
      </c>
    </row>
    <row r="89" spans="1:12">
      <c r="A89">
        <v>2026</v>
      </c>
      <c r="B89" s="4" t="s">
        <v>151</v>
      </c>
      <c r="C89">
        <v>4</v>
      </c>
      <c r="D89" cm="1">
        <f t="array" ref="D89">_xlfn.IFS(C89&lt;=2,8, C89&lt;=5,10, C89&lt;=7,12, TRUE,"")</f>
        <v>10</v>
      </c>
      <c r="E89" t="s">
        <v>141</v>
      </c>
      <c r="F89" t="s">
        <v>307</v>
      </c>
      <c r="G89" t="s">
        <v>317</v>
      </c>
      <c r="H89" t="s">
        <v>318</v>
      </c>
      <c r="I89" t="s">
        <v>319</v>
      </c>
      <c r="J89" t="s">
        <v>28</v>
      </c>
      <c r="K89">
        <v>12</v>
      </c>
      <c r="L89">
        <v>3</v>
      </c>
    </row>
    <row r="90" spans="1:12">
      <c r="A90">
        <v>2026</v>
      </c>
      <c r="B90" s="4" t="s">
        <v>151</v>
      </c>
      <c r="C90">
        <v>5</v>
      </c>
      <c r="D90" cm="1">
        <f t="array" ref="D90">_xlfn.IFS(C90&lt;=2,8, C90&lt;=5,10, C90&lt;=7,12, TRUE,"")</f>
        <v>10</v>
      </c>
      <c r="E90" t="s">
        <v>141</v>
      </c>
      <c r="F90" t="s">
        <v>307</v>
      </c>
      <c r="G90" t="s">
        <v>320</v>
      </c>
      <c r="H90" t="s">
        <v>321</v>
      </c>
      <c r="I90" t="s">
        <v>322</v>
      </c>
      <c r="J90" t="s">
        <v>137</v>
      </c>
      <c r="K90">
        <v>11</v>
      </c>
      <c r="L90">
        <v>4</v>
      </c>
    </row>
    <row r="91" spans="1:12">
      <c r="A91">
        <v>2026</v>
      </c>
      <c r="B91" s="4" t="s">
        <v>151</v>
      </c>
      <c r="C91">
        <v>6</v>
      </c>
      <c r="D91" cm="1">
        <f t="array" ref="D91">_xlfn.IFS(C91&lt;=2,8, C91&lt;=5,10, C91&lt;=7,12, TRUE,"")</f>
        <v>12</v>
      </c>
      <c r="E91" t="s">
        <v>141</v>
      </c>
      <c r="F91" t="s">
        <v>307</v>
      </c>
      <c r="G91" t="s">
        <v>323</v>
      </c>
      <c r="H91" t="s">
        <v>324</v>
      </c>
      <c r="I91" t="s">
        <v>325</v>
      </c>
      <c r="J91" t="s">
        <v>27</v>
      </c>
      <c r="K91">
        <v>11</v>
      </c>
      <c r="L91">
        <v>2</v>
      </c>
    </row>
    <row r="92" spans="1:12">
      <c r="A92">
        <v>2026</v>
      </c>
      <c r="B92" s="4" t="s">
        <v>151</v>
      </c>
      <c r="C92">
        <v>7</v>
      </c>
      <c r="D92" cm="1">
        <f t="array" ref="D92">_xlfn.IFS(C92&lt;=2,8, C92&lt;=5,10, C92&lt;=7,12, TRUE,"")</f>
        <v>12</v>
      </c>
      <c r="E92" t="s">
        <v>141</v>
      </c>
      <c r="F92" t="s">
        <v>307</v>
      </c>
      <c r="G92" t="s">
        <v>326</v>
      </c>
      <c r="H92" t="s">
        <v>327</v>
      </c>
      <c r="I92" t="s">
        <v>328</v>
      </c>
      <c r="J92" t="s">
        <v>29</v>
      </c>
      <c r="K92">
        <v>15</v>
      </c>
      <c r="L92">
        <v>5</v>
      </c>
    </row>
    <row r="93" spans="1:12" ht="16">
      <c r="A93">
        <v>2026</v>
      </c>
      <c r="B93" s="4" t="s">
        <v>329</v>
      </c>
      <c r="C93">
        <v>1</v>
      </c>
      <c r="D93" cm="1">
        <f t="array" ref="D93">_xlfn.IFS(C93&lt;=2,8, C93&lt;=5,10, C93&lt;=7,12, TRUE,"")</f>
        <v>8</v>
      </c>
      <c r="E93" t="s">
        <v>367</v>
      </c>
      <c r="F93" s="4" t="s">
        <v>330</v>
      </c>
      <c r="G93" t="str">
        <f>B93&amp;"-01.mp3"</f>
        <v>Z001-01.mp3</v>
      </c>
      <c r="H93" t="str">
        <f>B93&amp;"-01.png"</f>
        <v>Z001-01.png</v>
      </c>
      <c r="I93" s="5" t="s">
        <v>331</v>
      </c>
      <c r="J93" t="s">
        <v>26</v>
      </c>
      <c r="K93">
        <v>5</v>
      </c>
      <c r="L93">
        <v>1</v>
      </c>
    </row>
    <row r="94" spans="1:12" ht="16">
      <c r="A94">
        <v>2026</v>
      </c>
      <c r="B94" s="4" t="s">
        <v>329</v>
      </c>
      <c r="C94">
        <v>2</v>
      </c>
      <c r="D94" cm="1">
        <f t="array" ref="D94">_xlfn.IFS(C94&lt;=2,8, C94&lt;=5,10, C94&lt;=7,12, TRUE,"")</f>
        <v>8</v>
      </c>
      <c r="E94" t="s">
        <v>367</v>
      </c>
      <c r="F94" s="4" t="s">
        <v>330</v>
      </c>
      <c r="G94" t="str">
        <f>B94&amp;"-02.mp3"</f>
        <v>Z001-02.mp3</v>
      </c>
      <c r="H94" t="str">
        <f>B94&amp;"-02.png"</f>
        <v>Z001-02.png</v>
      </c>
      <c r="I94" s="5" t="s">
        <v>332</v>
      </c>
      <c r="J94" t="s">
        <v>26</v>
      </c>
      <c r="K94">
        <v>7</v>
      </c>
      <c r="L94">
        <v>3</v>
      </c>
    </row>
    <row r="95" spans="1:12" ht="16">
      <c r="A95">
        <v>2026</v>
      </c>
      <c r="B95" s="4" t="s">
        <v>329</v>
      </c>
      <c r="C95">
        <v>3</v>
      </c>
      <c r="D95" cm="1">
        <f t="array" ref="D95">_xlfn.IFS(C95&lt;=2,8, C95&lt;=5,10, C95&lt;=7,12, TRUE,"")</f>
        <v>10</v>
      </c>
      <c r="E95" t="s">
        <v>367</v>
      </c>
      <c r="F95" s="4" t="s">
        <v>330</v>
      </c>
      <c r="G95" t="str">
        <f>B95&amp;"-03.mp3"</f>
        <v>Z001-03.mp3</v>
      </c>
      <c r="H95" t="str">
        <f>B95&amp;"-03.png"</f>
        <v>Z001-03.png</v>
      </c>
      <c r="I95" s="5" t="s">
        <v>333</v>
      </c>
      <c r="J95" t="s">
        <v>369</v>
      </c>
      <c r="K95">
        <v>8</v>
      </c>
      <c r="L95">
        <v>3</v>
      </c>
    </row>
    <row r="96" spans="1:12" ht="16">
      <c r="A96">
        <v>2026</v>
      </c>
      <c r="B96" s="4" t="s">
        <v>329</v>
      </c>
      <c r="C96">
        <v>4</v>
      </c>
      <c r="D96" cm="1">
        <f t="array" ref="D96">_xlfn.IFS(C96&lt;=2,8, C96&lt;=5,10, C96&lt;=7,12, TRUE,"")</f>
        <v>10</v>
      </c>
      <c r="E96" t="s">
        <v>367</v>
      </c>
      <c r="F96" s="4" t="s">
        <v>330</v>
      </c>
      <c r="G96" t="str">
        <f>B96&amp;"-04.mp3"</f>
        <v>Z001-04.mp3</v>
      </c>
      <c r="H96" t="str">
        <f>B96&amp;"-04.png"</f>
        <v>Z001-04.png</v>
      </c>
      <c r="I96" s="5" t="s">
        <v>334</v>
      </c>
      <c r="J96" t="s">
        <v>26</v>
      </c>
      <c r="K96">
        <v>10</v>
      </c>
      <c r="L96">
        <v>3</v>
      </c>
    </row>
    <row r="97" spans="1:12" ht="16">
      <c r="A97">
        <v>2026</v>
      </c>
      <c r="B97" s="4" t="s">
        <v>329</v>
      </c>
      <c r="C97">
        <v>5</v>
      </c>
      <c r="D97" cm="1">
        <f t="array" ref="D97">_xlfn.IFS(C97&lt;=2,8, C97&lt;=5,10, C97&lt;=7,12, TRUE,"")</f>
        <v>10</v>
      </c>
      <c r="E97" t="s">
        <v>367</v>
      </c>
      <c r="F97" s="4" t="s">
        <v>330</v>
      </c>
      <c r="G97" t="str">
        <f>B97&amp;"-05.mp3"</f>
        <v>Z001-05.mp3</v>
      </c>
      <c r="H97" t="str">
        <f>B97&amp;"-05.png"</f>
        <v>Z001-05.png</v>
      </c>
      <c r="I97" s="5" t="s">
        <v>335</v>
      </c>
      <c r="J97" t="s">
        <v>369</v>
      </c>
      <c r="K97">
        <v>12</v>
      </c>
      <c r="L97">
        <v>4</v>
      </c>
    </row>
    <row r="98" spans="1:12" ht="16">
      <c r="A98">
        <v>2026</v>
      </c>
      <c r="B98" s="4" t="s">
        <v>329</v>
      </c>
      <c r="C98">
        <v>6</v>
      </c>
      <c r="D98" cm="1">
        <f t="array" ref="D98">_xlfn.IFS(C98&lt;=2,8, C98&lt;=5,10, C98&lt;=7,12, TRUE,"")</f>
        <v>12</v>
      </c>
      <c r="E98" t="s">
        <v>367</v>
      </c>
      <c r="F98" s="4" t="s">
        <v>330</v>
      </c>
      <c r="G98" t="str">
        <f>B98&amp;"-06.mp3"</f>
        <v>Z001-06.mp3</v>
      </c>
      <c r="H98" t="str">
        <f>B98&amp;"-06.png"</f>
        <v>Z001-06.png</v>
      </c>
      <c r="I98" s="5" t="s">
        <v>336</v>
      </c>
      <c r="J98" t="s">
        <v>369</v>
      </c>
      <c r="K98">
        <v>9</v>
      </c>
      <c r="L98">
        <v>4</v>
      </c>
    </row>
    <row r="99" spans="1:12" ht="16">
      <c r="A99">
        <v>2026</v>
      </c>
      <c r="B99" s="4" t="s">
        <v>329</v>
      </c>
      <c r="C99">
        <v>7</v>
      </c>
      <c r="D99" cm="1">
        <f t="array" ref="D99">_xlfn.IFS(C99&lt;=2,8, C99&lt;=5,10, C99&lt;=7,12, TRUE,"")</f>
        <v>12</v>
      </c>
      <c r="E99" t="s">
        <v>367</v>
      </c>
      <c r="F99" s="4" t="s">
        <v>330</v>
      </c>
      <c r="G99" t="str">
        <f>B99&amp;"-07.mp3"</f>
        <v>Z001-07.mp3</v>
      </c>
      <c r="H99" t="str">
        <f>B99&amp;"-07.png"</f>
        <v>Z001-07.png</v>
      </c>
      <c r="I99" s="5" t="s">
        <v>337</v>
      </c>
      <c r="J99" t="s">
        <v>369</v>
      </c>
      <c r="K99">
        <v>14</v>
      </c>
      <c r="L99">
        <v>5</v>
      </c>
    </row>
    <row r="100" spans="1:12" ht="16">
      <c r="A100">
        <v>2026</v>
      </c>
      <c r="B100" s="4" t="s">
        <v>338</v>
      </c>
      <c r="C100">
        <v>1</v>
      </c>
      <c r="D100" cm="1">
        <f t="array" ref="D100">_xlfn.IFS(C100&lt;=2,8, C100&lt;=5,10, C100&lt;=7,12, TRUE,"")</f>
        <v>8</v>
      </c>
      <c r="E100" t="s">
        <v>339</v>
      </c>
      <c r="F100" s="4" t="s">
        <v>340</v>
      </c>
      <c r="G100" t="str">
        <f>B100&amp;"-01.mp3"</f>
        <v>Z002-01.mp3</v>
      </c>
      <c r="H100" t="str">
        <f>B100&amp;"-01.png"</f>
        <v>Z002-01.png</v>
      </c>
      <c r="I100" s="6" t="s">
        <v>341</v>
      </c>
      <c r="J100" t="s">
        <v>26</v>
      </c>
      <c r="K100">
        <v>8</v>
      </c>
      <c r="L100">
        <v>2</v>
      </c>
    </row>
    <row r="101" spans="1:12">
      <c r="A101">
        <v>2026</v>
      </c>
      <c r="B101" s="4" t="s">
        <v>338</v>
      </c>
      <c r="C101">
        <v>2</v>
      </c>
      <c r="D101" cm="1">
        <f t="array" ref="D101">_xlfn.IFS(C101&lt;=2,8, C101&lt;=5,10, C101&lt;=7,12, TRUE,"")</f>
        <v>8</v>
      </c>
      <c r="E101" t="s">
        <v>339</v>
      </c>
      <c r="F101" s="4" t="s">
        <v>340</v>
      </c>
      <c r="G101" t="str">
        <f>B101&amp;"-02.mp3"</f>
        <v>Z002-02.mp3</v>
      </c>
      <c r="H101" t="str">
        <f>B101&amp;"-02.png"</f>
        <v>Z002-02.png</v>
      </c>
      <c r="I101" t="s">
        <v>342</v>
      </c>
      <c r="J101" t="s">
        <v>26</v>
      </c>
      <c r="K101">
        <v>8</v>
      </c>
      <c r="L101">
        <v>2</v>
      </c>
    </row>
    <row r="102" spans="1:12">
      <c r="A102">
        <v>2026</v>
      </c>
      <c r="B102" s="4" t="s">
        <v>338</v>
      </c>
      <c r="C102">
        <v>3</v>
      </c>
      <c r="D102" cm="1">
        <f t="array" ref="D102">_xlfn.IFS(C102&lt;=2,8, C102&lt;=5,10, C102&lt;=7,12, TRUE,"")</f>
        <v>10</v>
      </c>
      <c r="E102" t="s">
        <v>339</v>
      </c>
      <c r="F102" s="4" t="s">
        <v>340</v>
      </c>
      <c r="G102" t="str">
        <f>B102&amp;"-03.mp3"</f>
        <v>Z002-03.mp3</v>
      </c>
      <c r="H102" t="str">
        <f>B102&amp;"-03.png"</f>
        <v>Z002-03.png</v>
      </c>
      <c r="I102" t="s">
        <v>343</v>
      </c>
      <c r="J102" t="s">
        <v>26</v>
      </c>
      <c r="K102">
        <v>10</v>
      </c>
      <c r="L102">
        <v>4</v>
      </c>
    </row>
    <row r="103" spans="1:12">
      <c r="A103">
        <v>2026</v>
      </c>
      <c r="B103" s="4" t="s">
        <v>338</v>
      </c>
      <c r="C103">
        <v>4</v>
      </c>
      <c r="D103" cm="1">
        <f t="array" ref="D103">_xlfn.IFS(C103&lt;=2,8, C103&lt;=5,10, C103&lt;=7,12, TRUE,"")</f>
        <v>10</v>
      </c>
      <c r="E103" t="s">
        <v>339</v>
      </c>
      <c r="F103" s="4" t="s">
        <v>340</v>
      </c>
      <c r="G103" t="str">
        <f>B103&amp;"-04.mp3"</f>
        <v>Z002-04.mp3</v>
      </c>
      <c r="H103" t="str">
        <f>B103&amp;"-04.png"</f>
        <v>Z002-04.png</v>
      </c>
      <c r="I103" t="s">
        <v>344</v>
      </c>
      <c r="J103" t="s">
        <v>26</v>
      </c>
      <c r="K103">
        <v>10</v>
      </c>
      <c r="L103">
        <v>3</v>
      </c>
    </row>
    <row r="104" spans="1:12">
      <c r="A104">
        <v>2026</v>
      </c>
      <c r="B104" s="4" t="s">
        <v>338</v>
      </c>
      <c r="C104">
        <v>5</v>
      </c>
      <c r="D104" cm="1">
        <f t="array" ref="D104">_xlfn.IFS(C104&lt;=2,8, C104&lt;=5,10, C104&lt;=7,12, TRUE,"")</f>
        <v>10</v>
      </c>
      <c r="E104" t="s">
        <v>339</v>
      </c>
      <c r="F104" s="4" t="s">
        <v>340</v>
      </c>
      <c r="G104" t="str">
        <f>B104&amp;"-05.mp3"</f>
        <v>Z002-05.mp3</v>
      </c>
      <c r="H104" t="str">
        <f>B104&amp;"-05.png"</f>
        <v>Z002-05.png</v>
      </c>
      <c r="I104" t="s">
        <v>345</v>
      </c>
      <c r="J104" t="s">
        <v>26</v>
      </c>
      <c r="K104">
        <v>11</v>
      </c>
      <c r="L104">
        <v>3</v>
      </c>
    </row>
    <row r="105" spans="1:12">
      <c r="A105">
        <v>2026</v>
      </c>
      <c r="B105" s="4" t="s">
        <v>338</v>
      </c>
      <c r="C105">
        <v>6</v>
      </c>
      <c r="D105" cm="1">
        <f t="array" ref="D105">_xlfn.IFS(C105&lt;=2,8, C105&lt;=5,10, C105&lt;=7,12, TRUE,"")</f>
        <v>12</v>
      </c>
      <c r="E105" t="s">
        <v>339</v>
      </c>
      <c r="F105" s="4" t="s">
        <v>340</v>
      </c>
      <c r="G105" t="str">
        <f>B105&amp;"-06.mp3"</f>
        <v>Z002-06.mp3</v>
      </c>
      <c r="H105" t="str">
        <f>B105&amp;"-06.png"</f>
        <v>Z002-06.png</v>
      </c>
      <c r="I105" t="s">
        <v>346</v>
      </c>
      <c r="J105" t="s">
        <v>369</v>
      </c>
      <c r="K105">
        <v>16</v>
      </c>
      <c r="L105">
        <v>5</v>
      </c>
    </row>
    <row r="106" spans="1:12">
      <c r="A106">
        <v>2026</v>
      </c>
      <c r="B106" s="4" t="s">
        <v>338</v>
      </c>
      <c r="C106">
        <v>7</v>
      </c>
      <c r="D106" cm="1">
        <f t="array" ref="D106">_xlfn.IFS(C106&lt;=2,8, C106&lt;=5,10, C106&lt;=7,12, TRUE,"")</f>
        <v>12</v>
      </c>
      <c r="E106" t="s">
        <v>339</v>
      </c>
      <c r="F106" s="4" t="s">
        <v>340</v>
      </c>
      <c r="G106" t="str">
        <f>B106&amp;"-07.mp3"</f>
        <v>Z002-07.mp3</v>
      </c>
      <c r="H106" t="str">
        <f>B106&amp;"-07.png"</f>
        <v>Z002-07.png</v>
      </c>
      <c r="I106" t="s">
        <v>347</v>
      </c>
      <c r="J106" t="s">
        <v>26</v>
      </c>
      <c r="K106">
        <v>15</v>
      </c>
      <c r="L106">
        <v>4</v>
      </c>
    </row>
    <row r="107" spans="1:12">
      <c r="A107">
        <v>2026</v>
      </c>
      <c r="B107" s="4" t="s">
        <v>348</v>
      </c>
      <c r="C107">
        <v>1</v>
      </c>
      <c r="D107" cm="1">
        <f t="array" ref="D107">_xlfn.IFS(C107&lt;=2,8, C107&lt;=5,10, C107&lt;=7,12, TRUE,"")</f>
        <v>8</v>
      </c>
      <c r="E107" t="s">
        <v>349</v>
      </c>
      <c r="F107" s="4" t="s">
        <v>350</v>
      </c>
      <c r="G107" t="str">
        <f>B107&amp;"-01.mp3"</f>
        <v>Z003-01.mp3</v>
      </c>
      <c r="H107" t="str">
        <f>B107&amp;"-01.png"</f>
        <v>Z003-01.png</v>
      </c>
      <c r="I107" t="s">
        <v>351</v>
      </c>
      <c r="J107" t="s">
        <v>26</v>
      </c>
      <c r="K107">
        <v>6</v>
      </c>
      <c r="L107">
        <v>1</v>
      </c>
    </row>
    <row r="108" spans="1:12">
      <c r="A108">
        <v>2026</v>
      </c>
      <c r="B108" s="4" t="s">
        <v>348</v>
      </c>
      <c r="C108">
        <v>2</v>
      </c>
      <c r="D108" cm="1">
        <f t="array" ref="D108">_xlfn.IFS(C108&lt;=2,8, C108&lt;=5,10, C108&lt;=7,12, TRUE,"")</f>
        <v>8</v>
      </c>
      <c r="E108" t="s">
        <v>349</v>
      </c>
      <c r="F108" s="4" t="s">
        <v>350</v>
      </c>
      <c r="G108" t="str">
        <f>B108&amp;"-02.mp3"</f>
        <v>Z003-02.mp3</v>
      </c>
      <c r="H108" t="str">
        <f>B108&amp;"-02.png"</f>
        <v>Z003-02.png</v>
      </c>
      <c r="I108" t="s">
        <v>352</v>
      </c>
      <c r="J108" t="s">
        <v>26</v>
      </c>
      <c r="K108">
        <v>7</v>
      </c>
      <c r="L108">
        <v>2</v>
      </c>
    </row>
    <row r="109" spans="1:12">
      <c r="A109">
        <v>2026</v>
      </c>
      <c r="B109" s="4" t="s">
        <v>348</v>
      </c>
      <c r="C109">
        <v>3</v>
      </c>
      <c r="D109" cm="1">
        <f t="array" ref="D109">_xlfn.IFS(C109&lt;=2,8, C109&lt;=5,10, C109&lt;=7,12, TRUE,"")</f>
        <v>10</v>
      </c>
      <c r="E109" t="s">
        <v>349</v>
      </c>
      <c r="F109" s="4" t="s">
        <v>350</v>
      </c>
      <c r="G109" t="str">
        <f>B109&amp;"-03.mp3"</f>
        <v>Z003-03.mp3</v>
      </c>
      <c r="H109" t="str">
        <f>B109&amp;"-03.png"</f>
        <v>Z003-03.png</v>
      </c>
      <c r="I109" t="s">
        <v>353</v>
      </c>
      <c r="J109" t="s">
        <v>26</v>
      </c>
      <c r="K109">
        <v>11</v>
      </c>
      <c r="L109">
        <v>3</v>
      </c>
    </row>
    <row r="110" spans="1:12">
      <c r="A110">
        <v>2026</v>
      </c>
      <c r="B110" s="4" t="s">
        <v>348</v>
      </c>
      <c r="C110">
        <v>4</v>
      </c>
      <c r="D110" cm="1">
        <f t="array" ref="D110">_xlfn.IFS(C110&lt;=2,8, C110&lt;=5,10, C110&lt;=7,12, TRUE,"")</f>
        <v>10</v>
      </c>
      <c r="E110" t="s">
        <v>349</v>
      </c>
      <c r="F110" s="4" t="s">
        <v>350</v>
      </c>
      <c r="G110" t="str">
        <f>B110&amp;"-04.mp3"</f>
        <v>Z003-04.mp3</v>
      </c>
      <c r="H110" t="str">
        <f>B110&amp;"-04.png"</f>
        <v>Z003-04.png</v>
      </c>
      <c r="I110" t="s">
        <v>354</v>
      </c>
      <c r="J110" t="s">
        <v>26</v>
      </c>
      <c r="K110">
        <v>9</v>
      </c>
      <c r="L110">
        <v>3</v>
      </c>
    </row>
    <row r="111" spans="1:12">
      <c r="A111">
        <v>2026</v>
      </c>
      <c r="B111" s="4" t="s">
        <v>348</v>
      </c>
      <c r="C111">
        <v>5</v>
      </c>
      <c r="D111" cm="1">
        <f t="array" ref="D111">_xlfn.IFS(C111&lt;=2,8, C111&lt;=5,10, C111&lt;=7,12, TRUE,"")</f>
        <v>10</v>
      </c>
      <c r="E111" t="s">
        <v>349</v>
      </c>
      <c r="F111" s="4" t="s">
        <v>350</v>
      </c>
      <c r="G111" t="str">
        <f>B111&amp;"-05.mp3"</f>
        <v>Z003-05.mp3</v>
      </c>
      <c r="H111" t="str">
        <f>B111&amp;"-05.png"</f>
        <v>Z003-05.png</v>
      </c>
      <c r="I111" t="s">
        <v>355</v>
      </c>
      <c r="J111" t="s">
        <v>26</v>
      </c>
      <c r="K111">
        <v>7</v>
      </c>
      <c r="L111">
        <v>3</v>
      </c>
    </row>
    <row r="112" spans="1:12">
      <c r="A112">
        <v>2026</v>
      </c>
      <c r="B112" s="4" t="s">
        <v>348</v>
      </c>
      <c r="C112">
        <v>6</v>
      </c>
      <c r="D112" cm="1">
        <f t="array" ref="D112">_xlfn.IFS(C112&lt;=2,8, C112&lt;=5,10, C112&lt;=7,12, TRUE,"")</f>
        <v>12</v>
      </c>
      <c r="E112" t="s">
        <v>349</v>
      </c>
      <c r="F112" s="4" t="s">
        <v>350</v>
      </c>
      <c r="G112" t="str">
        <f>B112&amp;"-06.mp3"</f>
        <v>Z003-06.mp3</v>
      </c>
      <c r="H112" t="str">
        <f>B112&amp;"-06.png"</f>
        <v>Z003-06.png</v>
      </c>
      <c r="I112" t="s">
        <v>356</v>
      </c>
      <c r="J112" t="s">
        <v>26</v>
      </c>
      <c r="K112">
        <v>10</v>
      </c>
      <c r="L112">
        <v>4</v>
      </c>
    </row>
    <row r="113" spans="1:12">
      <c r="A113">
        <v>2026</v>
      </c>
      <c r="B113" s="4" t="s">
        <v>348</v>
      </c>
      <c r="C113">
        <v>7</v>
      </c>
      <c r="D113" cm="1">
        <f t="array" ref="D113">_xlfn.IFS(C113&lt;=2,8, C113&lt;=5,10, C113&lt;=7,12, TRUE,"")</f>
        <v>12</v>
      </c>
      <c r="E113" t="s">
        <v>349</v>
      </c>
      <c r="F113" s="4" t="s">
        <v>350</v>
      </c>
      <c r="G113" t="str">
        <f>B113&amp;"-07.mp3"</f>
        <v>Z003-07.mp3</v>
      </c>
      <c r="H113" t="str">
        <f>B113&amp;"-07.png"</f>
        <v>Z003-07.png</v>
      </c>
      <c r="I113" t="s">
        <v>357</v>
      </c>
      <c r="J113" t="s">
        <v>26</v>
      </c>
      <c r="K113">
        <v>16</v>
      </c>
      <c r="L113">
        <v>4</v>
      </c>
    </row>
    <row r="114" spans="1:12">
      <c r="A114">
        <v>2026</v>
      </c>
      <c r="B114" s="4" t="s">
        <v>358</v>
      </c>
      <c r="C114">
        <v>1</v>
      </c>
      <c r="D114" cm="1">
        <f t="array" ref="D114">_xlfn.IFS(C114&lt;=2,8, C114&lt;=5,10, C114&lt;=7,12, TRUE,"")</f>
        <v>8</v>
      </c>
      <c r="E114" t="s">
        <v>368</v>
      </c>
      <c r="F114" s="4" t="s">
        <v>359</v>
      </c>
      <c r="G114" t="str">
        <f>B114&amp;"-01.mp3"</f>
        <v>Z004-01.mp3</v>
      </c>
      <c r="H114" t="str">
        <f>B114&amp;"-01.png"</f>
        <v>Z004-01.png</v>
      </c>
      <c r="I114" t="s">
        <v>360</v>
      </c>
      <c r="J114" t="s">
        <v>26</v>
      </c>
      <c r="K114">
        <v>5</v>
      </c>
      <c r="L114">
        <v>1</v>
      </c>
    </row>
    <row r="115" spans="1:12">
      <c r="A115">
        <v>2026</v>
      </c>
      <c r="B115" s="4" t="s">
        <v>358</v>
      </c>
      <c r="C115">
        <v>2</v>
      </c>
      <c r="D115" cm="1">
        <f t="array" ref="D115">_xlfn.IFS(C115&lt;=2,8, C115&lt;=5,10, C115&lt;=7,12, TRUE,"")</f>
        <v>8</v>
      </c>
      <c r="E115" t="s">
        <v>368</v>
      </c>
      <c r="F115" s="4" t="s">
        <v>359</v>
      </c>
      <c r="G115" t="str">
        <f>B115&amp;"-02.mp3"</f>
        <v>Z004-02.mp3</v>
      </c>
      <c r="H115" t="str">
        <f>B115&amp;"-02.png"</f>
        <v>Z004-02.png</v>
      </c>
      <c r="I115" t="s">
        <v>361</v>
      </c>
      <c r="J115" t="s">
        <v>26</v>
      </c>
      <c r="K115">
        <v>8</v>
      </c>
      <c r="L115">
        <v>3</v>
      </c>
    </row>
    <row r="116" spans="1:12">
      <c r="A116">
        <v>2026</v>
      </c>
      <c r="B116" s="4" t="s">
        <v>358</v>
      </c>
      <c r="C116">
        <v>3</v>
      </c>
      <c r="D116" cm="1">
        <f t="array" ref="D116">_xlfn.IFS(C116&lt;=2,8, C116&lt;=5,10, C116&lt;=7,12, TRUE,"")</f>
        <v>10</v>
      </c>
      <c r="E116" t="s">
        <v>368</v>
      </c>
      <c r="F116" s="4" t="s">
        <v>359</v>
      </c>
      <c r="G116" t="str">
        <f>B116&amp;"-03.mp3"</f>
        <v>Z004-03.mp3</v>
      </c>
      <c r="H116" t="str">
        <f>B116&amp;"-03.png"</f>
        <v>Z004-03.png</v>
      </c>
      <c r="I116" t="s">
        <v>362</v>
      </c>
      <c r="J116" t="s">
        <v>26</v>
      </c>
      <c r="K116">
        <v>10</v>
      </c>
      <c r="L116">
        <v>3</v>
      </c>
    </row>
    <row r="117" spans="1:12">
      <c r="A117">
        <v>2026</v>
      </c>
      <c r="B117" s="4" t="s">
        <v>358</v>
      </c>
      <c r="C117">
        <v>4</v>
      </c>
      <c r="D117" cm="1">
        <f t="array" ref="D117">_xlfn.IFS(C117&lt;=2,8, C117&lt;=5,10, C117&lt;=7,12, TRUE,"")</f>
        <v>10</v>
      </c>
      <c r="E117" t="s">
        <v>368</v>
      </c>
      <c r="F117" s="4" t="s">
        <v>359</v>
      </c>
      <c r="G117" t="str">
        <f>B117&amp;"-04.mp3"</f>
        <v>Z004-04.mp3</v>
      </c>
      <c r="H117" t="str">
        <f>B117&amp;"-04.png"</f>
        <v>Z004-04.png</v>
      </c>
      <c r="I117" t="s">
        <v>363</v>
      </c>
      <c r="J117" t="s">
        <v>26</v>
      </c>
      <c r="K117">
        <v>11</v>
      </c>
      <c r="L117">
        <v>4</v>
      </c>
    </row>
    <row r="118" spans="1:12">
      <c r="A118">
        <v>2026</v>
      </c>
      <c r="B118" s="4" t="s">
        <v>358</v>
      </c>
      <c r="C118">
        <v>5</v>
      </c>
      <c r="D118" cm="1">
        <f t="array" ref="D118">_xlfn.IFS(C118&lt;=2,8, C118&lt;=5,10, C118&lt;=7,12, TRUE,"")</f>
        <v>10</v>
      </c>
      <c r="E118" t="s">
        <v>368</v>
      </c>
      <c r="F118" s="4" t="s">
        <v>359</v>
      </c>
      <c r="G118" t="str">
        <f>B118&amp;"-05.mp3"</f>
        <v>Z004-05.mp3</v>
      </c>
      <c r="H118" t="str">
        <f>B118&amp;"-05.png"</f>
        <v>Z004-05.png</v>
      </c>
      <c r="I118" t="s">
        <v>364</v>
      </c>
      <c r="J118" t="s">
        <v>297</v>
      </c>
      <c r="K118">
        <v>13</v>
      </c>
      <c r="L118">
        <v>5</v>
      </c>
    </row>
    <row r="119" spans="1:12">
      <c r="A119">
        <v>2026</v>
      </c>
      <c r="B119" s="4" t="s">
        <v>358</v>
      </c>
      <c r="C119">
        <v>6</v>
      </c>
      <c r="D119" cm="1">
        <f t="array" ref="D119">_xlfn.IFS(C119&lt;=2,8, C119&lt;=5,10, C119&lt;=7,12, TRUE,"")</f>
        <v>12</v>
      </c>
      <c r="E119" t="s">
        <v>368</v>
      </c>
      <c r="F119" s="4" t="s">
        <v>359</v>
      </c>
      <c r="G119" t="str">
        <f>B119&amp;"-06.mp3"</f>
        <v>Z004-06.mp3</v>
      </c>
      <c r="H119" t="str">
        <f>B119&amp;"-06.png"</f>
        <v>Z004-06.png</v>
      </c>
      <c r="I119" t="s">
        <v>365</v>
      </c>
      <c r="J119" t="s">
        <v>369</v>
      </c>
      <c r="K119">
        <v>12</v>
      </c>
      <c r="L119">
        <v>4</v>
      </c>
    </row>
    <row r="120" spans="1:12">
      <c r="A120">
        <v>2026</v>
      </c>
      <c r="B120" s="4" t="s">
        <v>358</v>
      </c>
      <c r="C120">
        <v>7</v>
      </c>
      <c r="D120" cm="1">
        <f t="array" ref="D120">_xlfn.IFS(C120&lt;=2,8, C120&lt;=5,10, C120&lt;=7,12, TRUE,"")</f>
        <v>12</v>
      </c>
      <c r="E120" t="s">
        <v>368</v>
      </c>
      <c r="F120" s="4" t="s">
        <v>359</v>
      </c>
      <c r="G120" t="str">
        <f>B120&amp;"-07.mp3"</f>
        <v>Z004-07.mp3</v>
      </c>
      <c r="H120" t="str">
        <f>B120&amp;"-07.png"</f>
        <v>Z004-07.png</v>
      </c>
      <c r="I120" t="s">
        <v>366</v>
      </c>
      <c r="J120" t="s">
        <v>369</v>
      </c>
      <c r="K120">
        <v>18</v>
      </c>
      <c r="L120">
        <v>5</v>
      </c>
    </row>
  </sheetData>
  <autoFilter ref="A1:L15" xr:uid="{00000000-0001-0000-0000-000000000000}"/>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Coo</cp:lastModifiedBy>
  <dcterms:created xsi:type="dcterms:W3CDTF">2026-01-06T01:52:21Z</dcterms:created>
  <dcterms:modified xsi:type="dcterms:W3CDTF">2026-02-05T09:35:37Z</dcterms:modified>
</cp:coreProperties>
</file>