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oo/Desktop/LR/"/>
    </mc:Choice>
  </mc:AlternateContent>
  <xr:revisionPtr revIDLastSave="0" documentId="13_ncr:1_{C0C7CB72-DADA-C044-AA52-129B66375695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Sheet1" sheetId="1" r:id="rId1"/>
  </sheets>
  <definedNames>
    <definedName name="_xlnm._FilterDatabase" localSheetId="0" hidden="1">Sheet1!$A$1:$M$15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2" i="1"/>
  <c r="D13" i="1" a="1"/>
  <c r="D13" i="1" s="1"/>
  <c r="D14" i="1" a="1"/>
  <c r="D14" i="1" s="1"/>
  <c r="D15" i="1" a="1"/>
  <c r="D15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<sst xmlns="http://schemas.openxmlformats.org/spreadsheetml/2006/main" count="110" uniqueCount="64">
  <si>
    <t>Date</t>
  </si>
  <si>
    <t>Set</t>
  </si>
  <si>
    <t>#</t>
  </si>
  <si>
    <t>Scene</t>
  </si>
  <si>
    <t>Prompt</t>
  </si>
  <si>
    <t>Type</t>
  </si>
  <si>
    <t>Length</t>
  </si>
  <si>
    <t>Difficulty</t>
  </si>
  <si>
    <t>zoo</t>
  </si>
  <si>
    <t>campus gym</t>
  </si>
  <si>
    <t xml:space="preserve">You are learning to welcome visitors to the zoo. Listen to your manager and repeat what she says. </t>
  </si>
  <si>
    <t xml:space="preserve">You are learning how to guide new students through the campus gym. </t>
  </si>
  <si>
    <t>We have a variety of wildlife.</t>
  </si>
  <si>
    <t>Bears, wolves, and large cats are to the right.</t>
  </si>
  <si>
    <t>You can find sea lions and elephants further down the path.</t>
  </si>
  <si>
    <t>Please, no outside food or drinks, and do not feed the animals.</t>
  </si>
  <si>
    <t>Avoid banging or tapping on the displays and enclosures.</t>
  </si>
  <si>
    <t>For those with children, we offer summer camps and educational opportunities.</t>
  </si>
  <si>
    <t>The visitor's center, located near the front entrance, can give you more information.</t>
  </si>
  <si>
    <t>Welcome to our campus gym.</t>
  </si>
  <si>
    <t>Cardio machines are near the entrance.</t>
  </si>
  <si>
    <t>Free weights are in the back.</t>
  </si>
  <si>
    <t>All of our locker rooms are equipped with showers and towels.</t>
  </si>
  <si>
    <t>Our fitness instructors hold exercise classes over here.</t>
  </si>
  <si>
    <t>You can check the schedule for available classes and timings.</t>
  </si>
  <si>
    <t>If you have any questions, please seek assistance from the attendants at the help desk.</t>
  </si>
  <si>
    <t>simple</t>
  </si>
  <si>
    <t>imperative</t>
  </si>
  <si>
    <t>non-finite clause</t>
  </si>
  <si>
    <t>adverbial clause</t>
  </si>
  <si>
    <t>Picture</t>
  </si>
  <si>
    <t>S001-01.png</t>
  </si>
  <si>
    <t>S001-02.png</t>
  </si>
  <si>
    <t>Script</t>
  </si>
  <si>
    <t>Audio</t>
  </si>
  <si>
    <t>S001-01.mp3</t>
  </si>
  <si>
    <t>S001-02.mp3</t>
  </si>
  <si>
    <t>S001-03.mp3</t>
  </si>
  <si>
    <t>S001-04.mp3</t>
  </si>
  <si>
    <t>S001-05.mp3</t>
  </si>
  <si>
    <t>S001-06.mp3</t>
  </si>
  <si>
    <t>S001-07.mp3</t>
  </si>
  <si>
    <t>001</t>
  </si>
  <si>
    <t>002</t>
  </si>
  <si>
    <t>Time/s</t>
  </si>
  <si>
    <t>S001-03.png</t>
  </si>
  <si>
    <t>S001-04.png</t>
  </si>
  <si>
    <t>S001-05.png</t>
  </si>
  <si>
    <t>S001-06.png</t>
  </si>
  <si>
    <t>S001-07.png</t>
  </si>
  <si>
    <t>S002-01.mp3</t>
  </si>
  <si>
    <t>S002-02.mp3</t>
  </si>
  <si>
    <t>S002-03.mp3</t>
  </si>
  <si>
    <t>S002-04.mp3</t>
  </si>
  <si>
    <t>S002-05.mp3</t>
  </si>
  <si>
    <t>S002-06.mp3</t>
  </si>
  <si>
    <t>S002-07.mp3</t>
  </si>
  <si>
    <t>S002-01.png</t>
  </si>
  <si>
    <t>S002-02.png</t>
  </si>
  <si>
    <t>S002-03.png</t>
  </si>
  <si>
    <t>S002-04.png</t>
  </si>
  <si>
    <t>S002-05.png</t>
  </si>
  <si>
    <t>S002-06.png</t>
  </si>
  <si>
    <t>S002-07.png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</si>
</sst>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tabSelected="1" workbookViewId="0">
      <selection activeCell="J26" sqref="J26"/>
    </sheetView>
  </sheetViews>
  <sheetFormatPr baseColWidth="10" defaultColWidth="8.83203125" defaultRowHeight="15" x14ac:dyDescent="0.2"/>
  <cols>
    <col min="2" max="2" width="8.83203125" style="4"/>
    <col min="5" max="6" width="14.1640625" customWidth="1"/>
    <col min="7" max="8" width="12.6640625" customWidth="1"/>
    <col min="9" max="9" width="19.33203125" customWidth="1"/>
    <col min="10" max="10" width="79" customWidth="1"/>
    <col min="11" max="11" width="15" customWidth="1"/>
    <col min="12" max="12" width="11.5" customWidth="1"/>
    <col min="13" max="13" width="17" customWidth="1"/>
  </cols>
  <sheetData>
    <row r="1" spans="1:13" x14ac:dyDescent="0.2">
      <c r="A1" s="1" t="s">
        <v>0</v>
      </c>
      <c r="B1" s="3" t="s">
        <v>1</v>
      </c>
      <c r="C1" s="1" t="s">
        <v>2</v>
      </c>
      <c r="D1" s="1" t="s">
        <v>44</v>
      </c>
      <c r="E1" s="1" t="s">
        <v>3</v>
      </c>
      <c r="F1" s="1"/>
      <c r="G1" s="1" t="s">
        <v>4</v>
      </c>
      <c r="H1" s="1" t="s">
        <v>34</v>
      </c>
      <c r="I1" s="2" t="s">
        <v>30</v>
      </c>
      <c r="J1" s="1" t="s">
        <v>33</v>
      </c>
      <c r="K1" s="1" t="s">
        <v>5</v>
      </c>
      <c r="L1" s="1" t="s">
        <v>6</v>
      </c>
      <c r="M1" s="1" t="s">
        <v>7</v>
      </c>
    </row>
    <row r="2" spans="1:13" x14ac:dyDescent="0.2">
      <c r="A2">
        <v>2026</v>
      </c>
      <c r="B2" s="4" t="s">
        <v>42</v>
      </c>
      <c r="C2">
        <v>1</v>
      </c>
      <c r="D2" cm="1">
        <f t="array" ref="D2">_xlfn.IFS(C2&lt;=2,8, C2&lt;=5,10, C2&lt;=7,12, TRUE,"")</f>
        <v>8</v>
      </c>
      <c r="E2" t="s">
        <v>8</v>
      </c>
      <c r="F2" t="str">
        <f>"S"&amp;B2&amp;"-"&amp;"0"&amp;C2&amp;".png"</f>
        <v>S001-01.png</v>
      </c>
      <c r="G2" t="s">
        <v>10</v>
      </c>
      <c r="H2" t="s">
        <v>35</v>
      </c>
      <c r="I2" t="s">
        <v>31</v>
      </c>
      <c r="J2" t="s">
        <v>12</v>
      </c>
      <c r="K2" t="s">
        <v>26</v>
      </c>
      <c r="L2">
        <v>6</v>
      </c>
      <c r="M2">
        <v>2</v>
      </c>
    </row>
    <row r="3" spans="1:13" x14ac:dyDescent="0.2">
      <c r="A3">
        <v>2026</v>
      </c>
      <c r="B3" s="4" t="s">
        <v>42</v>
      </c>
      <c r="C3">
        <v>2</v>
      </c>
      <c r="D3" cm="1">
        <f t="array" ref="D3">_xlfn.IFS(C3&lt;=2,8, C3&lt;=5,10, C3&lt;=7,12, TRUE,"")</f>
        <v>8</v>
      </c>
      <c r="E3" t="s">
        <v>8</v>
      </c>
      <c r="F3" t="str">
        <f t="shared" ref="F3:F15" si="0">"S"&amp;B3&amp;"-"&amp;"0"&amp;C3&amp;".png"</f>
        <v>S001-02.png</v>
      </c>
      <c r="G3" t="s">
        <v>10</v>
      </c>
      <c r="H3" t="s">
        <v>36</v>
      </c>
      <c r="I3" t="s">
        <v>32</v>
      </c>
      <c r="J3" t="s">
        <v>13</v>
      </c>
      <c r="K3" t="s">
        <v>26</v>
      </c>
      <c r="L3">
        <v>9</v>
      </c>
      <c r="M3">
        <v>1</v>
      </c>
    </row>
    <row r="4" spans="1:13" x14ac:dyDescent="0.2">
      <c r="A4">
        <v>2026</v>
      </c>
      <c r="B4" s="4" t="s">
        <v>42</v>
      </c>
      <c r="C4">
        <v>3</v>
      </c>
      <c r="D4" cm="1">
        <f t="array" ref="D4">_xlfn.IFS(C4&lt;=2,8, C4&lt;=5,10, C4&lt;=7,12, TRUE,"")</f>
        <v>10</v>
      </c>
      <c r="E4" t="s">
        <v>8</v>
      </c>
      <c r="F4" t="str">
        <f t="shared" si="0"/>
        <v>S001-03.png</v>
      </c>
      <c r="G4" t="s">
        <v>10</v>
      </c>
      <c r="H4" t="s">
        <v>37</v>
      </c>
      <c r="I4" t="s">
        <v>45</v>
      </c>
      <c r="J4" t="s">
        <v>14</v>
      </c>
      <c r="K4" t="s">
        <v>26</v>
      </c>
      <c r="L4">
        <v>11</v>
      </c>
      <c r="M4">
        <v>2</v>
      </c>
    </row>
    <row r="5" spans="1:13" x14ac:dyDescent="0.2">
      <c r="A5">
        <v>2026</v>
      </c>
      <c r="B5" s="4" t="s">
        <v>42</v>
      </c>
      <c r="C5">
        <v>4</v>
      </c>
      <c r="D5" cm="1">
        <f t="array" ref="D5">_xlfn.IFS(C5&lt;=2,8, C5&lt;=5,10, C5&lt;=7,12, TRUE,"")</f>
        <v>10</v>
      </c>
      <c r="E5" t="s">
        <v>8</v>
      </c>
      <c r="F5" t="str">
        <f t="shared" si="0"/>
        <v>S001-04.png</v>
      </c>
      <c r="G5" t="s">
        <v>10</v>
      </c>
      <c r="H5" t="s">
        <v>38</v>
      </c>
      <c r="I5" t="s">
        <v>46</v>
      </c>
      <c r="J5" t="s">
        <v>15</v>
      </c>
      <c r="K5" t="s">
        <v>27</v>
      </c>
      <c r="L5">
        <v>12</v>
      </c>
      <c r="M5">
        <v>2</v>
      </c>
    </row>
    <row r="6" spans="1:13" x14ac:dyDescent="0.2">
      <c r="A6">
        <v>2026</v>
      </c>
      <c r="B6" s="4" t="s">
        <v>42</v>
      </c>
      <c r="C6">
        <v>5</v>
      </c>
      <c r="D6" cm="1">
        <f t="array" ref="D6">_xlfn.IFS(C6&lt;=2,8, C6&lt;=5,10, C6&lt;=7,12, TRUE,"")</f>
        <v>10</v>
      </c>
      <c r="E6" t="s">
        <v>8</v>
      </c>
      <c r="F6" t="str">
        <f t="shared" si="0"/>
        <v>S001-05.png</v>
      </c>
      <c r="G6" t="s">
        <v>10</v>
      </c>
      <c r="H6" t="s">
        <v>39</v>
      </c>
      <c r="I6" t="s">
        <v>47</v>
      </c>
      <c r="J6" t="s">
        <v>16</v>
      </c>
      <c r="K6" t="s">
        <v>27</v>
      </c>
      <c r="L6">
        <v>9</v>
      </c>
      <c r="M6">
        <v>2</v>
      </c>
    </row>
    <row r="7" spans="1:13" x14ac:dyDescent="0.2">
      <c r="A7">
        <v>2026</v>
      </c>
      <c r="B7" s="4" t="s">
        <v>42</v>
      </c>
      <c r="C7">
        <v>6</v>
      </c>
      <c r="D7" cm="1">
        <f t="array" ref="D7">_xlfn.IFS(C7&lt;=2,8, C7&lt;=5,10, C7&lt;=7,12, TRUE,"")</f>
        <v>12</v>
      </c>
      <c r="E7" t="s">
        <v>8</v>
      </c>
      <c r="F7" t="str">
        <f t="shared" si="0"/>
        <v>S001-06.png</v>
      </c>
      <c r="G7" t="s">
        <v>10</v>
      </c>
      <c r="H7" t="s">
        <v>40</v>
      </c>
      <c r="I7" t="s">
        <v>48</v>
      </c>
      <c r="J7" t="s">
        <v>17</v>
      </c>
      <c r="K7" t="s">
        <v>28</v>
      </c>
      <c r="L7">
        <v>11</v>
      </c>
      <c r="M7">
        <v>3</v>
      </c>
    </row>
    <row r="8" spans="1:13" x14ac:dyDescent="0.2">
      <c r="A8">
        <v>2026</v>
      </c>
      <c r="B8" s="4" t="s">
        <v>42</v>
      </c>
      <c r="C8">
        <v>7</v>
      </c>
      <c r="D8" cm="1">
        <f t="array" ref="D8">_xlfn.IFS(C8&lt;=2,8, C8&lt;=5,10, C8&lt;=7,12, TRUE,"")</f>
        <v>12</v>
      </c>
      <c r="E8" t="s">
        <v>8</v>
      </c>
      <c r="F8" t="str">
        <f t="shared" si="0"/>
        <v>S001-07.png</v>
      </c>
      <c r="G8" t="s">
        <v>10</v>
      </c>
      <c r="H8" t="s">
        <v>41</v>
      </c>
      <c r="I8" t="s">
        <v>49</v>
      </c>
      <c r="J8" t="s">
        <v>18</v>
      </c>
      <c r="K8" t="s">
        <v>28</v>
      </c>
      <c r="L8">
        <v>13</v>
      </c>
      <c r="M8">
        <v>3</v>
      </c>
    </row>
    <row r="9" spans="1:13" x14ac:dyDescent="0.2">
      <c r="A9">
        <v>2026</v>
      </c>
      <c r="B9" s="4" t="s">
        <v>43</v>
      </c>
      <c r="C9">
        <v>1</v>
      </c>
      <c r="D9" cm="1">
        <f t="array" ref="D9">_xlfn.IFS(C9&lt;=2,8, C9&lt;=5,10, C9&lt;=7,12, TRUE,"")</f>
        <v>8</v>
      </c>
      <c r="E9" t="s">
        <v>9</v>
      </c>
      <c r="F9" t="str">
        <f t="shared" si="0"/>
        <v>S002-01.png</v>
      </c>
      <c r="G9" t="s">
        <v>11</v>
      </c>
      <c r="H9" t="s">
        <v>50</v>
      </c>
      <c r="I9" t="s">
        <v>57</v>
      </c>
      <c r="J9" t="s">
        <v>19</v>
      </c>
      <c r="K9" t="s">
        <v>26</v>
      </c>
      <c r="L9">
        <v>5</v>
      </c>
      <c r="M9">
        <v>1</v>
      </c>
    </row>
    <row r="10" spans="1:13" x14ac:dyDescent="0.2">
      <c r="A10">
        <v>2026</v>
      </c>
      <c r="B10" s="4" t="s">
        <v>43</v>
      </c>
      <c r="C10">
        <v>2</v>
      </c>
      <c r="D10" cm="1">
        <f t="array" ref="D10">_xlfn.IFS(C10&lt;=2,8, C10&lt;=5,10, C10&lt;=7,12, TRUE,"")</f>
        <v>8</v>
      </c>
      <c r="E10" t="s">
        <v>9</v>
      </c>
      <c r="F10" t="str">
        <f t="shared" si="0"/>
        <v>S002-02.png</v>
      </c>
      <c r="G10" t="s">
        <v>11</v>
      </c>
      <c r="H10" t="s">
        <v>51</v>
      </c>
      <c r="I10" t="s">
        <v>58</v>
      </c>
      <c r="J10" t="s">
        <v>20</v>
      </c>
      <c r="K10" t="s">
        <v>26</v>
      </c>
      <c r="L10">
        <v>6</v>
      </c>
      <c r="M10">
        <v>1</v>
      </c>
    </row>
    <row r="11" spans="1:13" x14ac:dyDescent="0.2">
      <c r="A11">
        <v>2026</v>
      </c>
      <c r="B11" s="4" t="s">
        <v>43</v>
      </c>
      <c r="C11">
        <v>3</v>
      </c>
      <c r="D11" cm="1">
        <f t="array" ref="D11">_xlfn.IFS(C11&lt;=2,8, C11&lt;=5,10, C11&lt;=7,12, TRUE,"")</f>
        <v>10</v>
      </c>
      <c r="E11" t="s">
        <v>9</v>
      </c>
      <c r="F11" t="str">
        <f t="shared" si="0"/>
        <v>S002-03.png</v>
      </c>
      <c r="G11" t="s">
        <v>11</v>
      </c>
      <c r="H11" t="s">
        <v>52</v>
      </c>
      <c r="I11" t="s">
        <v>59</v>
      </c>
      <c r="J11" t="s">
        <v>21</v>
      </c>
      <c r="K11" t="s">
        <v>26</v>
      </c>
      <c r="L11">
        <v>6</v>
      </c>
      <c r="M11">
        <v>1</v>
      </c>
    </row>
    <row r="12" spans="1:13" x14ac:dyDescent="0.2">
      <c r="A12">
        <v>2026</v>
      </c>
      <c r="B12" s="4" t="s">
        <v>43</v>
      </c>
      <c r="C12">
        <v>4</v>
      </c>
      <c r="D12" cm="1">
        <f t="array" ref="D12">_xlfn.IFS(C12&lt;=2,8, C12&lt;=5,10, C12&lt;=7,12, TRUE,"")</f>
        <v>10</v>
      </c>
      <c r="E12" t="s">
        <v>9</v>
      </c>
      <c r="F12" t="str">
        <f t="shared" si="0"/>
        <v>S002-04.png</v>
      </c>
      <c r="G12" t="s">
        <v>11</v>
      </c>
      <c r="H12" t="s">
        <v>53</v>
      </c>
      <c r="I12" t="s">
        <v>60</v>
      </c>
      <c r="J12" t="s">
        <v>22</v>
      </c>
      <c r="K12" t="s">
        <v>28</v>
      </c>
      <c r="L12">
        <v>11</v>
      </c>
      <c r="M12">
        <v>3</v>
      </c>
    </row>
    <row r="13" spans="1:13" x14ac:dyDescent="0.2">
      <c r="A13">
        <v>2026</v>
      </c>
      <c r="B13" s="4" t="s">
        <v>43</v>
      </c>
      <c r="C13">
        <v>5</v>
      </c>
      <c r="D13" cm="1">
        <f t="array" ref="D13">_xlfn.IFS(C13&lt;=2,8, C13&lt;=5,10, C13&lt;=7,12, TRUE,"")</f>
        <v>10</v>
      </c>
      <c r="E13" t="s">
        <v>9</v>
      </c>
      <c r="F13" t="str">
        <f t="shared" si="0"/>
        <v>S002-05.png</v>
      </c>
      <c r="G13" t="s">
        <v>11</v>
      </c>
      <c r="H13" t="s">
        <v>54</v>
      </c>
      <c r="I13" t="s">
        <v>61</v>
      </c>
      <c r="J13" t="s">
        <v>23</v>
      </c>
      <c r="K13" t="s">
        <v>26</v>
      </c>
      <c r="L13">
        <v>8</v>
      </c>
      <c r="M13">
        <v>1</v>
      </c>
    </row>
    <row r="14" spans="1:13" x14ac:dyDescent="0.2">
      <c r="A14">
        <v>2026</v>
      </c>
      <c r="B14" s="4" t="s">
        <v>43</v>
      </c>
      <c r="C14">
        <v>6</v>
      </c>
      <c r="D14" cm="1">
        <f t="array" ref="D14">_xlfn.IFS(C14&lt;=2,8, C14&lt;=5,10, C14&lt;=7,12, TRUE,"")</f>
        <v>12</v>
      </c>
      <c r="E14" t="s">
        <v>9</v>
      </c>
      <c r="F14" t="str">
        <f t="shared" si="0"/>
        <v>S002-06.png</v>
      </c>
      <c r="G14" t="s">
        <v>11</v>
      </c>
      <c r="H14" t="s">
        <v>55</v>
      </c>
      <c r="I14" t="s">
        <v>62</v>
      </c>
      <c r="J14" t="s">
        <v>24</v>
      </c>
      <c r="K14" t="s">
        <v>26</v>
      </c>
      <c r="L14">
        <v>10</v>
      </c>
      <c r="M14">
        <v>1</v>
      </c>
    </row>
    <row r="15" spans="1:13" x14ac:dyDescent="0.2">
      <c r="A15">
        <v>2026</v>
      </c>
      <c r="B15" s="4" t="s">
        <v>43</v>
      </c>
      <c r="C15">
        <v>7</v>
      </c>
      <c r="D15" cm="1">
        <f t="array" ref="D15">_xlfn.IFS(C15&lt;=2,8, C15&lt;=5,10, C15&lt;=7,12, TRUE,"")</f>
        <v>12</v>
      </c>
      <c r="E15" t="s">
        <v>9</v>
      </c>
      <c r="F15" t="str">
        <f t="shared" si="0"/>
        <v>S002-07.png</v>
      </c>
      <c r="G15" t="s">
        <v>11</v>
      </c>
      <c r="H15" t="s">
        <v>56</v>
      </c>
      <c r="I15" t="s">
        <v>63</v>
      </c>
      <c r="J15" t="s">
        <v>25</v>
      </c>
      <c r="K15" t="s">
        <v>29</v>
      </c>
      <c r="L15">
        <v>15</v>
      </c>
      <c r="M15">
        <v>4</v>
      </c>
    </row>
  </sheetData>
  <autoFilter ref="A1:M15" xr:uid="{00000000-0001-0000-0000-00000000000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Coo</cp:lastModifiedBy>
  <dcterms:created xsi:type="dcterms:W3CDTF">2026-01-06T01:52:21Z</dcterms:created>
  <dcterms:modified xsi:type="dcterms:W3CDTF">2026-01-09T11:35:08Z</dcterms:modified>
</cp:coreProperties>
</file>