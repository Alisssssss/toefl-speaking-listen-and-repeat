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coo/Desktop/LR/"/>
    </mc:Choice>
  </mc:AlternateContent>
  <xr:revisionPtr revIDLastSave="0" documentId="13_ncr:1_{4C9D674E-5BBE-AC46-9DEF-7F29413605A3}" xr6:coauthVersionLast="47" xr6:coauthVersionMax="47" xr10:uidLastSave="{00000000-0000-0000-0000-000000000000}"/>
  <bookViews>
    <workbookView xWindow="1700" yWindow="1540" windowWidth="27700" windowHeight="16700" xr2:uid="{5EBF45D0-A39F-AA40-8CB0-5AB27151068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1" l="1"/>
  <c r="G29" i="1"/>
  <c r="D29" i="1" a="1"/>
  <c r="D29" i="1" s="1"/>
  <c r="H28" i="1"/>
  <c r="G28" i="1"/>
  <c r="D28" i="1" a="1"/>
  <c r="D28" i="1" s="1"/>
  <c r="H27" i="1"/>
  <c r="G27" i="1"/>
  <c r="D27" i="1" a="1"/>
  <c r="D27" i="1" s="1"/>
  <c r="H26" i="1"/>
  <c r="G26" i="1"/>
  <c r="D26" i="1" a="1"/>
  <c r="D26" i="1" s="1"/>
  <c r="H25" i="1"/>
  <c r="G25" i="1"/>
  <c r="D25" i="1" a="1"/>
  <c r="D25" i="1" s="1"/>
  <c r="H24" i="1"/>
  <c r="G24" i="1"/>
  <c r="D24" i="1" a="1"/>
  <c r="D24" i="1" s="1"/>
  <c r="H23" i="1"/>
  <c r="G23" i="1"/>
  <c r="D23" i="1" a="1"/>
  <c r="D23" i="1" s="1"/>
  <c r="H22" i="1"/>
  <c r="G22" i="1"/>
  <c r="D22" i="1" a="1"/>
  <c r="D22" i="1" s="1"/>
  <c r="H21" i="1"/>
  <c r="G21" i="1"/>
  <c r="D21" i="1" a="1"/>
  <c r="D21" i="1" s="1"/>
  <c r="H20" i="1"/>
  <c r="G20" i="1"/>
  <c r="D20" i="1" a="1"/>
  <c r="D20" i="1" s="1"/>
  <c r="H19" i="1"/>
  <c r="G19" i="1"/>
  <c r="D19" i="1" a="1"/>
  <c r="D19" i="1" s="1"/>
  <c r="H18" i="1"/>
  <c r="G18" i="1"/>
  <c r="D18" i="1" a="1"/>
  <c r="D18" i="1" s="1"/>
  <c r="H17" i="1"/>
  <c r="G17" i="1"/>
  <c r="D17" i="1" a="1"/>
  <c r="D17" i="1" s="1"/>
  <c r="H16" i="1"/>
  <c r="G16" i="1"/>
  <c r="D16" i="1" a="1"/>
  <c r="D16" i="1" s="1"/>
  <c r="H15" i="1"/>
  <c r="G15" i="1"/>
  <c r="D15" i="1" a="1"/>
  <c r="D15" i="1" s="1"/>
  <c r="H14" i="1"/>
  <c r="G14" i="1"/>
  <c r="D14" i="1" a="1"/>
  <c r="D14" i="1" s="1"/>
  <c r="H13" i="1"/>
  <c r="G13" i="1"/>
  <c r="D13" i="1" a="1"/>
  <c r="D13" i="1" s="1"/>
  <c r="H12" i="1"/>
  <c r="G12" i="1"/>
  <c r="D12" i="1" a="1"/>
  <c r="D12" i="1" s="1"/>
  <c r="H11" i="1"/>
  <c r="G11" i="1"/>
  <c r="D11" i="1" a="1"/>
  <c r="D11" i="1" s="1"/>
  <c r="H10" i="1"/>
  <c r="G10" i="1"/>
  <c r="D10" i="1" a="1"/>
  <c r="D10" i="1" s="1"/>
  <c r="H9" i="1"/>
  <c r="G9" i="1"/>
  <c r="D9" i="1" a="1"/>
  <c r="D9" i="1" s="1"/>
  <c r="H8" i="1"/>
  <c r="G8" i="1"/>
  <c r="D8" i="1" a="1"/>
  <c r="D8" i="1" s="1"/>
  <c r="H7" i="1"/>
  <c r="G7" i="1"/>
  <c r="D7" i="1" a="1"/>
  <c r="D7" i="1" s="1"/>
  <c r="H6" i="1"/>
  <c r="G6" i="1"/>
  <c r="D6" i="1" a="1"/>
  <c r="D6" i="1" s="1"/>
  <c r="H5" i="1"/>
  <c r="G5" i="1"/>
  <c r="D5" i="1" a="1"/>
  <c r="D5" i="1" s="1"/>
  <c r="H4" i="1"/>
  <c r="G4" i="1"/>
  <c r="D4" i="1" a="1"/>
  <c r="D4" i="1" s="1"/>
  <c r="H3" i="1"/>
  <c r="G3" i="1"/>
  <c r="D3" i="1" a="1"/>
  <c r="D3" i="1" s="1"/>
  <c r="H2" i="1"/>
  <c r="G2" i="1"/>
  <c r="D2" i="1" a="1"/>
  <c r="D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<sst xmlns="http://schemas.openxmlformats.org/spreadsheetml/2006/main" count="152" uniqueCount="55">
  <si>
    <t>Z001</t>
    <phoneticPr fontId="2" type="noConversion"/>
  </si>
  <si>
    <t>You are being trained to show students how to use the campus library's printing services. Listen to the speaker and repeat what he says. Repeat only once.</t>
    <phoneticPr fontId="2" type="noConversion"/>
  </si>
  <si>
    <t>Welcome to the Help Desk.</t>
  </si>
  <si>
    <t>First select the printer from your computer.</t>
  </si>
  <si>
    <t>Check the paper tray supply before you start.</t>
  </si>
  <si>
    <t>You can use your student ID for any other services.</t>
  </si>
  <si>
    <t>You can pay at the payment kiosk if you prefer that method.</t>
  </si>
  <si>
    <t>The help desk is available if you need assistance.</t>
  </si>
  <si>
    <t>When you are ready, simply select Print from your computer and retrieve your document.</t>
  </si>
  <si>
    <t>Z002</t>
    <phoneticPr fontId="2" type="noConversion"/>
  </si>
  <si>
    <t>grocery store</t>
    <phoneticPr fontId="2" type="noConversion"/>
  </si>
  <si>
    <t>You are working a part-time job at a grocery store near campus. You are being trained to assist customers. Listen to your trainer and repeat what he says. Repeat only once.</t>
    <phoneticPr fontId="2" type="noConversion"/>
  </si>
  <si>
    <t>Milk and yogurt are in the dairy section.</t>
  </si>
  <si>
    <t>Bread is freshly baked on site every day.</t>
  </si>
  <si>
    <t>We have a huge selection of fresh fruits and vegetables.</t>
  </si>
  <si>
    <t>This flyer has all our weekly deals and special discounts.</t>
  </si>
  <si>
    <t>The checkout counter is located at the front of the store.</t>
  </si>
  <si>
    <t>If you need help while learning, please don't hesitate to ask a full time store associate.</t>
  </si>
  <si>
    <t>Download our app and sign up for our newsletter to stay informed about upcoming sales.</t>
  </si>
  <si>
    <t>Z003</t>
    <phoneticPr fontId="2" type="noConversion"/>
  </si>
  <si>
    <t>student help desk</t>
    <phoneticPr fontId="2" type="noConversion"/>
  </si>
  <si>
    <t>You are working at the student help desk. Your manager is teaching you how to help new students learn how to use the university's email system. Listen to the manager and repeat what the manager says. Repeat only once.</t>
    <phoneticPr fontId="2" type="noConversion"/>
  </si>
  <si>
    <t>Check your inbox for new messages.</t>
  </si>
  <si>
    <t>Select Compose to write your e-mail.</t>
  </si>
  <si>
    <t>Select from your contacts list to add recipients to your note.</t>
  </si>
  <si>
    <t>Review sent items to confirm your messages were delivered.</t>
  </si>
  <si>
    <t>Use folders to organize your correspondence efficiently.</t>
  </si>
  <si>
    <t>Set up a few topical filters to manage incoming communications.</t>
  </si>
  <si>
    <t>To be safe, remember to log out to keep your electronic mail secure in our system.</t>
  </si>
  <si>
    <t>Z004</t>
    <phoneticPr fontId="2" type="noConversion"/>
  </si>
  <si>
    <t>You are learning to guide new students on how to use tools in a woodworking class. Listen to the speaker and repeat what she says. Repeat only once.</t>
    <phoneticPr fontId="2" type="noConversion"/>
  </si>
  <si>
    <t>welcome to the wood shop.</t>
  </si>
  <si>
    <t>these two box contains everything you should need.</t>
  </si>
  <si>
    <t>you will learn to use your saw in our classes.</t>
  </si>
  <si>
    <t>your screwdriver can be used with all of our carpentry machines.</t>
  </si>
  <si>
    <t>All wood will need to be smooth, so use the sand paper provided.</t>
  </si>
  <si>
    <t>Use only what is needed so that your supply last all quarter.</t>
  </si>
  <si>
    <t>Before you leave the class room, be sure to put all your tools back into the tool box.</t>
  </si>
  <si>
    <t>library</t>
    <phoneticPr fontId="2" type="noConversion"/>
  </si>
  <si>
    <t>woodworking class</t>
    <phoneticPr fontId="2" type="noConversion"/>
  </si>
  <si>
    <t>timeSec</t>
    <phoneticPr fontId="1" type="noConversion"/>
  </si>
  <si>
    <t>scene</t>
    <phoneticPr fontId="1" type="noConversion"/>
  </si>
  <si>
    <t>audio</t>
    <phoneticPr fontId="1" type="noConversion"/>
  </si>
  <si>
    <t>prompt</t>
    <phoneticPr fontId="1" type="noConversion"/>
  </si>
  <si>
    <t>picture</t>
    <phoneticPr fontId="1" type="noConversion"/>
  </si>
  <si>
    <t>script</t>
    <phoneticPr fontId="1" type="noConversion"/>
  </si>
  <si>
    <t>set</t>
    <phoneticPr fontId="1" type="noConversion"/>
  </si>
  <si>
    <t>date</t>
    <phoneticPr fontId="1" type="noConversion"/>
  </si>
  <si>
    <t>num</t>
    <phoneticPr fontId="1" type="noConversion"/>
  </si>
  <si>
    <t>type</t>
    <phoneticPr fontId="1" type="noConversion"/>
  </si>
  <si>
    <t>length</t>
    <phoneticPr fontId="1" type="noConversion"/>
  </si>
  <si>
    <t>difficulty</t>
    <phoneticPr fontId="1" type="noConversion"/>
  </si>
  <si>
    <t>simple</t>
  </si>
  <si>
    <t>complex</t>
  </si>
  <si>
    <t>compound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</si>
</sst>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等线"/>
      <family val="2"/>
      <charset val="134"/>
      <scheme val="minor"/>
    </font>
    <font>
      <sz val="9"/>
      <name val="等线"/>
      <family val="2"/>
      <charset val="134"/>
      <scheme val="minor"/>
    </font>
    <font>
      <sz val="8"/>
      <name val="等线"/>
      <family val="2"/>
      <scheme val="minor"/>
    </font>
    <font>
      <sz val="12"/>
      <color theme="1"/>
      <name val="Times New Roman"/>
      <family val="1"/>
    </font>
    <font>
      <b/>
      <sz val="11"/>
      <color theme="1"/>
      <name val="等线"/>
      <family val="2"/>
      <scheme val="minor"/>
    </font>
    <font>
      <sz val="11"/>
      <color theme="1"/>
      <name val="SimSun"/>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9">
    <xf numFmtId="0" fontId="0" fillId="0" borderId="0" xfId="0">
      <alignment vertical="center"/>
    </xf>
    <xf numFmtId="49" fontId="0" fillId="0" borderId="0" xfId="0" applyNumberFormat="1" applyAlignment="1"/>
    <xf numFmtId="0" fontId="0" fillId="0" borderId="0" xfId="0" applyAlignment="1"/>
    <xf numFmtId="0" fontId="3" fillId="0" borderId="0" xfId="0" applyFont="1">
      <alignment vertical="center"/>
    </xf>
    <xf numFmtId="0" fontId="3" fillId="0" borderId="0" xfId="0" applyFont="1" applyAlignment="1"/>
    <xf numFmtId="0" fontId="4" fillId="0" borderId="1" xfId="0" applyFont="1" applyBorder="1" applyAlignment="1">
      <alignment horizontal="center" vertical="top"/>
    </xf>
    <xf numFmtId="49" fontId="4" fillId="0" borderId="1" xfId="0" applyNumberFormat="1" applyFont="1" applyBorder="1" applyAlignment="1">
      <alignment horizontal="center" vertical="top"/>
    </xf>
    <xf numFmtId="0" fontId="4" fillId="0" borderId="2" xfId="0" applyFont="1" applyBorder="1" applyAlignment="1">
      <alignment horizontal="center" vertical="top"/>
    </xf>
    <xf numFmtId="0" fontId="5"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DB9C2-D522-CB40-A5CB-AB39A8E9D9C7}">
  <dimension ref="A1:L29"/>
  <sheetViews>
    <sheetView tabSelected="1" workbookViewId="0">
      <selection activeCell="I21" sqref="I21"/>
    </sheetView>
  </sheetViews>
  <sheetFormatPr baseColWidth="10" defaultRowHeight="16"/>
  <cols>
    <col min="9" max="9" width="49.83203125" customWidth="1"/>
    <col min="10" max="10" width="12.83203125" customWidth="1"/>
  </cols>
  <sheetData>
    <row r="1" spans="1:12">
      <c r="A1" s="5" t="s">
        <v>47</v>
      </c>
      <c r="B1" s="6" t="s">
        <v>46</v>
      </c>
      <c r="C1" s="5" t="s">
        <v>48</v>
      </c>
      <c r="D1" s="5" t="s">
        <v>40</v>
      </c>
      <c r="E1" s="5" t="s">
        <v>41</v>
      </c>
      <c r="F1" s="5" t="s">
        <v>43</v>
      </c>
      <c r="G1" s="5" t="s">
        <v>42</v>
      </c>
      <c r="H1" s="7" t="s">
        <v>44</v>
      </c>
      <c r="I1" s="5" t="s">
        <v>45</v>
      </c>
      <c r="J1" s="5" t="s">
        <v>49</v>
      </c>
      <c r="K1" s="5" t="s">
        <v>50</v>
      </c>
      <c r="L1" s="5" t="s">
        <v>51</v>
      </c>
    </row>
    <row r="2" spans="1:12">
      <c r="A2" s="2">
        <v>2026</v>
      </c>
      <c r="B2" s="1" t="s">
        <v>0</v>
      </c>
      <c r="C2" s="2">
        <v>1</v>
      </c>
      <c r="D2" s="2" cm="1">
        <f t="array" ref="D2">_xlfn.IFS(C2&lt;=2,8, C2&lt;=5,10, C2&lt;=7,12, TRUE,"")</f>
        <v>8</v>
      </c>
      <c r="E2" s="2" t="s">
        <v>38</v>
      </c>
      <c r="F2" s="1" t="s">
        <v>1</v>
      </c>
      <c r="G2" s="2" t="str">
        <f>B2&amp;"-01.mp3"</f>
        <v>Z001-01.mp3</v>
      </c>
      <c r="H2" s="2" t="str">
        <f>B2&amp;"-01.png"</f>
        <v>Z001-01.png</v>
      </c>
      <c r="I2" s="3" t="s">
        <v>2</v>
      </c>
      <c r="J2" s="8" t="s">
        <v>52</v>
      </c>
      <c r="K2" s="8">
        <v>5</v>
      </c>
      <c r="L2" s="8">
        <v>1</v>
      </c>
    </row>
    <row r="3" spans="1:12">
      <c r="A3" s="2">
        <v>2026</v>
      </c>
      <c r="B3" s="1" t="s">
        <v>0</v>
      </c>
      <c r="C3" s="2">
        <v>2</v>
      </c>
      <c r="D3" s="2" cm="1">
        <f t="array" ref="D3">_xlfn.IFS(C3&lt;=2,8, C3&lt;=5,10, C3&lt;=7,12, TRUE,"")</f>
        <v>8</v>
      </c>
      <c r="E3" s="2" t="s">
        <v>38</v>
      </c>
      <c r="F3" s="1" t="s">
        <v>1</v>
      </c>
      <c r="G3" s="2" t="str">
        <f>B3&amp;"-02.mp3"</f>
        <v>Z001-02.mp3</v>
      </c>
      <c r="H3" s="2" t="str">
        <f>B3&amp;"-02.png"</f>
        <v>Z001-02.png</v>
      </c>
      <c r="I3" s="3" t="s">
        <v>3</v>
      </c>
      <c r="J3" s="8" t="s">
        <v>52</v>
      </c>
      <c r="K3" s="8">
        <v>7</v>
      </c>
      <c r="L3" s="8">
        <v>3</v>
      </c>
    </row>
    <row r="4" spans="1:12">
      <c r="A4" s="2">
        <v>2026</v>
      </c>
      <c r="B4" s="1" t="s">
        <v>0</v>
      </c>
      <c r="C4" s="2">
        <v>3</v>
      </c>
      <c r="D4" s="2" cm="1">
        <f t="array" ref="D4">_xlfn.IFS(C4&lt;=2,8, C4&lt;=5,10, C4&lt;=7,12, TRUE,"")</f>
        <v>10</v>
      </c>
      <c r="E4" s="2" t="s">
        <v>38</v>
      </c>
      <c r="F4" s="1" t="s">
        <v>1</v>
      </c>
      <c r="G4" s="2" t="str">
        <f>B4&amp;"-03.mp3"</f>
        <v>Z001-03.mp3</v>
      </c>
      <c r="H4" s="2" t="str">
        <f>B4&amp;"-03.png"</f>
        <v>Z001-03.png</v>
      </c>
      <c r="I4" s="3" t="s">
        <v>4</v>
      </c>
      <c r="J4" s="8" t="s">
        <v>53</v>
      </c>
      <c r="K4" s="8">
        <v>8</v>
      </c>
      <c r="L4" s="8">
        <v>3</v>
      </c>
    </row>
    <row r="5" spans="1:12">
      <c r="A5" s="2">
        <v>2026</v>
      </c>
      <c r="B5" s="1" t="s">
        <v>0</v>
      </c>
      <c r="C5" s="2">
        <v>4</v>
      </c>
      <c r="D5" s="2" cm="1">
        <f t="array" ref="D5">_xlfn.IFS(C5&lt;=2,8, C5&lt;=5,10, C5&lt;=7,12, TRUE,"")</f>
        <v>10</v>
      </c>
      <c r="E5" s="2" t="s">
        <v>38</v>
      </c>
      <c r="F5" s="1" t="s">
        <v>1</v>
      </c>
      <c r="G5" s="2" t="str">
        <f>B5&amp;"-04.mp3"</f>
        <v>Z001-04.mp3</v>
      </c>
      <c r="H5" s="2" t="str">
        <f>B5&amp;"-04.png"</f>
        <v>Z001-04.png</v>
      </c>
      <c r="I5" s="3" t="s">
        <v>5</v>
      </c>
      <c r="J5" s="8" t="s">
        <v>52</v>
      </c>
      <c r="K5" s="8">
        <v>10</v>
      </c>
      <c r="L5" s="8">
        <v>3</v>
      </c>
    </row>
    <row r="6" spans="1:12">
      <c r="A6" s="2">
        <v>2026</v>
      </c>
      <c r="B6" s="1" t="s">
        <v>0</v>
      </c>
      <c r="C6" s="2">
        <v>5</v>
      </c>
      <c r="D6" s="2" cm="1">
        <f t="array" ref="D6">_xlfn.IFS(C6&lt;=2,8, C6&lt;=5,10, C6&lt;=7,12, TRUE,"")</f>
        <v>10</v>
      </c>
      <c r="E6" s="2" t="s">
        <v>38</v>
      </c>
      <c r="F6" s="1" t="s">
        <v>1</v>
      </c>
      <c r="G6" s="2" t="str">
        <f>B6&amp;"-05.mp3"</f>
        <v>Z001-05.mp3</v>
      </c>
      <c r="H6" s="2" t="str">
        <f>B6&amp;"-05.png"</f>
        <v>Z001-05.png</v>
      </c>
      <c r="I6" s="3" t="s">
        <v>6</v>
      </c>
      <c r="J6" s="8" t="s">
        <v>53</v>
      </c>
      <c r="K6" s="8">
        <v>12</v>
      </c>
      <c r="L6" s="8">
        <v>4</v>
      </c>
    </row>
    <row r="7" spans="1:12">
      <c r="A7" s="2">
        <v>2026</v>
      </c>
      <c r="B7" s="1" t="s">
        <v>0</v>
      </c>
      <c r="C7" s="2">
        <v>6</v>
      </c>
      <c r="D7" s="2" cm="1">
        <f t="array" ref="D7">_xlfn.IFS(C7&lt;=2,8, C7&lt;=5,10, C7&lt;=7,12, TRUE,"")</f>
        <v>12</v>
      </c>
      <c r="E7" s="2" t="s">
        <v>38</v>
      </c>
      <c r="F7" s="1" t="s">
        <v>1</v>
      </c>
      <c r="G7" s="2" t="str">
        <f>B7&amp;"-06.mp3"</f>
        <v>Z001-06.mp3</v>
      </c>
      <c r="H7" s="2" t="str">
        <f>B7&amp;"-06.png"</f>
        <v>Z001-06.png</v>
      </c>
      <c r="I7" s="3" t="s">
        <v>7</v>
      </c>
      <c r="J7" s="8" t="s">
        <v>53</v>
      </c>
      <c r="K7" s="8">
        <v>9</v>
      </c>
      <c r="L7" s="8">
        <v>4</v>
      </c>
    </row>
    <row r="8" spans="1:12">
      <c r="A8" s="2">
        <v>2026</v>
      </c>
      <c r="B8" s="1" t="s">
        <v>0</v>
      </c>
      <c r="C8" s="2">
        <v>7</v>
      </c>
      <c r="D8" s="2" cm="1">
        <f t="array" ref="D8">_xlfn.IFS(C8&lt;=2,8, C8&lt;=5,10, C8&lt;=7,12, TRUE,"")</f>
        <v>12</v>
      </c>
      <c r="E8" s="2" t="s">
        <v>38</v>
      </c>
      <c r="F8" s="1" t="s">
        <v>1</v>
      </c>
      <c r="G8" s="2" t="str">
        <f>B8&amp;"-07.mp3"</f>
        <v>Z001-07.mp3</v>
      </c>
      <c r="H8" s="2" t="str">
        <f>B8&amp;"-07.png"</f>
        <v>Z001-07.png</v>
      </c>
      <c r="I8" s="3" t="s">
        <v>8</v>
      </c>
      <c r="J8" s="8" t="s">
        <v>53</v>
      </c>
      <c r="K8" s="8">
        <v>14</v>
      </c>
      <c r="L8" s="8">
        <v>5</v>
      </c>
    </row>
    <row r="9" spans="1:12">
      <c r="A9" s="2">
        <v>2026</v>
      </c>
      <c r="B9" s="1" t="s">
        <v>9</v>
      </c>
      <c r="C9" s="2">
        <v>1</v>
      </c>
      <c r="D9" s="2" cm="1">
        <f t="array" ref="D9">_xlfn.IFS(C9&lt;=2,8, C9&lt;=5,10, C9&lt;=7,12, TRUE,"")</f>
        <v>8</v>
      </c>
      <c r="E9" s="2" t="s">
        <v>10</v>
      </c>
      <c r="F9" s="1" t="s">
        <v>11</v>
      </c>
      <c r="G9" s="2" t="str">
        <f>B9&amp;"-01.mp3"</f>
        <v>Z002-01.mp3</v>
      </c>
      <c r="H9" s="2" t="str">
        <f>B9&amp;"-01.png"</f>
        <v>Z002-01.png</v>
      </c>
      <c r="I9" s="4" t="s">
        <v>12</v>
      </c>
      <c r="J9" s="8" t="s">
        <v>52</v>
      </c>
      <c r="K9" s="8">
        <v>8</v>
      </c>
      <c r="L9" s="8">
        <v>2</v>
      </c>
    </row>
    <row r="10" spans="1:12">
      <c r="A10" s="2">
        <v>2026</v>
      </c>
      <c r="B10" s="1" t="s">
        <v>9</v>
      </c>
      <c r="C10" s="2">
        <v>2</v>
      </c>
      <c r="D10" s="2" cm="1">
        <f t="array" ref="D10">_xlfn.IFS(C10&lt;=2,8, C10&lt;=5,10, C10&lt;=7,12, TRUE,"")</f>
        <v>8</v>
      </c>
      <c r="E10" s="2" t="s">
        <v>10</v>
      </c>
      <c r="F10" s="1" t="s">
        <v>11</v>
      </c>
      <c r="G10" s="2" t="str">
        <f>B10&amp;"-02.mp3"</f>
        <v>Z002-02.mp3</v>
      </c>
      <c r="H10" s="2" t="str">
        <f>B10&amp;"-02.png"</f>
        <v>Z002-02.png</v>
      </c>
      <c r="I10" s="2" t="s">
        <v>13</v>
      </c>
      <c r="J10" s="8" t="s">
        <v>52</v>
      </c>
      <c r="K10" s="8">
        <v>8</v>
      </c>
      <c r="L10" s="8">
        <v>2</v>
      </c>
    </row>
    <row r="11" spans="1:12">
      <c r="A11" s="2">
        <v>2026</v>
      </c>
      <c r="B11" s="1" t="s">
        <v>9</v>
      </c>
      <c r="C11" s="2">
        <v>3</v>
      </c>
      <c r="D11" s="2" cm="1">
        <f t="array" ref="D11">_xlfn.IFS(C11&lt;=2,8, C11&lt;=5,10, C11&lt;=7,12, TRUE,"")</f>
        <v>10</v>
      </c>
      <c r="E11" s="2" t="s">
        <v>10</v>
      </c>
      <c r="F11" s="1" t="s">
        <v>11</v>
      </c>
      <c r="G11" s="2" t="str">
        <f>B11&amp;"-03.mp3"</f>
        <v>Z002-03.mp3</v>
      </c>
      <c r="H11" s="2" t="str">
        <f>B11&amp;"-03.png"</f>
        <v>Z002-03.png</v>
      </c>
      <c r="I11" s="2" t="s">
        <v>14</v>
      </c>
      <c r="J11" s="8" t="s">
        <v>52</v>
      </c>
      <c r="K11" s="8">
        <v>10</v>
      </c>
      <c r="L11" s="8">
        <v>4</v>
      </c>
    </row>
    <row r="12" spans="1:12">
      <c r="A12" s="2">
        <v>2026</v>
      </c>
      <c r="B12" s="1" t="s">
        <v>9</v>
      </c>
      <c r="C12" s="2">
        <v>4</v>
      </c>
      <c r="D12" s="2" cm="1">
        <f t="array" ref="D12">_xlfn.IFS(C12&lt;=2,8, C12&lt;=5,10, C12&lt;=7,12, TRUE,"")</f>
        <v>10</v>
      </c>
      <c r="E12" s="2" t="s">
        <v>10</v>
      </c>
      <c r="F12" s="1" t="s">
        <v>11</v>
      </c>
      <c r="G12" s="2" t="str">
        <f>B12&amp;"-04.mp3"</f>
        <v>Z002-04.mp3</v>
      </c>
      <c r="H12" s="2" t="str">
        <f>B12&amp;"-04.png"</f>
        <v>Z002-04.png</v>
      </c>
      <c r="I12" s="2" t="s">
        <v>15</v>
      </c>
      <c r="J12" s="8" t="s">
        <v>52</v>
      </c>
      <c r="K12" s="8">
        <v>10</v>
      </c>
      <c r="L12" s="8">
        <v>3</v>
      </c>
    </row>
    <row r="13" spans="1:12">
      <c r="A13" s="2">
        <v>2026</v>
      </c>
      <c r="B13" s="1" t="s">
        <v>9</v>
      </c>
      <c r="C13" s="2">
        <v>5</v>
      </c>
      <c r="D13" s="2" cm="1">
        <f t="array" ref="D13">_xlfn.IFS(C13&lt;=2,8, C13&lt;=5,10, C13&lt;=7,12, TRUE,"")</f>
        <v>10</v>
      </c>
      <c r="E13" s="2" t="s">
        <v>10</v>
      </c>
      <c r="F13" s="1" t="s">
        <v>11</v>
      </c>
      <c r="G13" s="2" t="str">
        <f>B13&amp;"-05.mp3"</f>
        <v>Z002-05.mp3</v>
      </c>
      <c r="H13" s="2" t="str">
        <f>B13&amp;"-05.png"</f>
        <v>Z002-05.png</v>
      </c>
      <c r="I13" s="2" t="s">
        <v>16</v>
      </c>
      <c r="J13" s="8" t="s">
        <v>52</v>
      </c>
      <c r="K13" s="8">
        <v>11</v>
      </c>
      <c r="L13" s="8">
        <v>3</v>
      </c>
    </row>
    <row r="14" spans="1:12">
      <c r="A14" s="2">
        <v>2026</v>
      </c>
      <c r="B14" s="1" t="s">
        <v>9</v>
      </c>
      <c r="C14" s="2">
        <v>6</v>
      </c>
      <c r="D14" s="2" cm="1">
        <f t="array" ref="D14">_xlfn.IFS(C14&lt;=2,8, C14&lt;=5,10, C14&lt;=7,12, TRUE,"")</f>
        <v>12</v>
      </c>
      <c r="E14" s="2" t="s">
        <v>10</v>
      </c>
      <c r="F14" s="1" t="s">
        <v>11</v>
      </c>
      <c r="G14" s="2" t="str">
        <f>B14&amp;"-06.mp3"</f>
        <v>Z002-06.mp3</v>
      </c>
      <c r="H14" s="2" t="str">
        <f>B14&amp;"-06.png"</f>
        <v>Z002-06.png</v>
      </c>
      <c r="I14" s="2" t="s">
        <v>17</v>
      </c>
      <c r="J14" s="8" t="s">
        <v>53</v>
      </c>
      <c r="K14" s="8">
        <v>16</v>
      </c>
      <c r="L14" s="8">
        <v>5</v>
      </c>
    </row>
    <row r="15" spans="1:12">
      <c r="A15" s="2">
        <v>2026</v>
      </c>
      <c r="B15" s="1" t="s">
        <v>9</v>
      </c>
      <c r="C15" s="2">
        <v>7</v>
      </c>
      <c r="D15" s="2" cm="1">
        <f t="array" ref="D15">_xlfn.IFS(C15&lt;=2,8, C15&lt;=5,10, C15&lt;=7,12, TRUE,"")</f>
        <v>12</v>
      </c>
      <c r="E15" s="2" t="s">
        <v>10</v>
      </c>
      <c r="F15" s="1" t="s">
        <v>11</v>
      </c>
      <c r="G15" s="2" t="str">
        <f>B15&amp;"-07.mp3"</f>
        <v>Z002-07.mp3</v>
      </c>
      <c r="H15" s="2" t="str">
        <f>B15&amp;"-07.png"</f>
        <v>Z002-07.png</v>
      </c>
      <c r="I15" s="2" t="s">
        <v>18</v>
      </c>
      <c r="J15" s="8" t="s">
        <v>52</v>
      </c>
      <c r="K15" s="8">
        <v>15</v>
      </c>
      <c r="L15" s="8">
        <v>4</v>
      </c>
    </row>
    <row r="16" spans="1:12">
      <c r="A16" s="2">
        <v>2026</v>
      </c>
      <c r="B16" s="1" t="s">
        <v>19</v>
      </c>
      <c r="C16" s="2">
        <v>1</v>
      </c>
      <c r="D16" s="2" cm="1">
        <f t="array" ref="D16">_xlfn.IFS(C16&lt;=2,8, C16&lt;=5,10, C16&lt;=7,12, TRUE,"")</f>
        <v>8</v>
      </c>
      <c r="E16" s="2" t="s">
        <v>20</v>
      </c>
      <c r="F16" s="1" t="s">
        <v>21</v>
      </c>
      <c r="G16" s="2" t="str">
        <f>B16&amp;"-01.mp3"</f>
        <v>Z003-01.mp3</v>
      </c>
      <c r="H16" s="2" t="str">
        <f>B16&amp;"-01.png"</f>
        <v>Z003-01.png</v>
      </c>
      <c r="I16" s="2" t="s">
        <v>22</v>
      </c>
      <c r="J16" s="8" t="s">
        <v>52</v>
      </c>
      <c r="K16" s="8">
        <v>6</v>
      </c>
      <c r="L16" s="8">
        <v>1</v>
      </c>
    </row>
    <row r="17" spans="1:12">
      <c r="A17" s="2">
        <v>2026</v>
      </c>
      <c r="B17" s="1" t="s">
        <v>19</v>
      </c>
      <c r="C17" s="2">
        <v>2</v>
      </c>
      <c r="D17" s="2" cm="1">
        <f t="array" ref="D17">_xlfn.IFS(C17&lt;=2,8, C17&lt;=5,10, C17&lt;=7,12, TRUE,"")</f>
        <v>8</v>
      </c>
      <c r="E17" s="2" t="s">
        <v>20</v>
      </c>
      <c r="F17" s="1" t="s">
        <v>21</v>
      </c>
      <c r="G17" s="2" t="str">
        <f>B17&amp;"-02.mp3"</f>
        <v>Z003-02.mp3</v>
      </c>
      <c r="H17" s="2" t="str">
        <f>B17&amp;"-02.png"</f>
        <v>Z003-02.png</v>
      </c>
      <c r="I17" s="2" t="s">
        <v>23</v>
      </c>
      <c r="J17" s="8" t="s">
        <v>52</v>
      </c>
      <c r="K17" s="8">
        <v>7</v>
      </c>
      <c r="L17" s="8">
        <v>2</v>
      </c>
    </row>
    <row r="18" spans="1:12">
      <c r="A18" s="2">
        <v>2026</v>
      </c>
      <c r="B18" s="1" t="s">
        <v>19</v>
      </c>
      <c r="C18" s="2">
        <v>3</v>
      </c>
      <c r="D18" s="2" cm="1">
        <f t="array" ref="D18">_xlfn.IFS(C18&lt;=2,8, C18&lt;=5,10, C18&lt;=7,12, TRUE,"")</f>
        <v>10</v>
      </c>
      <c r="E18" s="2" t="s">
        <v>20</v>
      </c>
      <c r="F18" s="1" t="s">
        <v>21</v>
      </c>
      <c r="G18" s="2" t="str">
        <f>B18&amp;"-03.mp3"</f>
        <v>Z003-03.mp3</v>
      </c>
      <c r="H18" s="2" t="str">
        <f>B18&amp;"-03.png"</f>
        <v>Z003-03.png</v>
      </c>
      <c r="I18" s="2" t="s">
        <v>24</v>
      </c>
      <c r="J18" s="8" t="s">
        <v>52</v>
      </c>
      <c r="K18" s="8">
        <v>11</v>
      </c>
      <c r="L18" s="8">
        <v>3</v>
      </c>
    </row>
    <row r="19" spans="1:12">
      <c r="A19" s="2">
        <v>2026</v>
      </c>
      <c r="B19" s="1" t="s">
        <v>19</v>
      </c>
      <c r="C19" s="2">
        <v>4</v>
      </c>
      <c r="D19" s="2" cm="1">
        <f t="array" ref="D19">_xlfn.IFS(C19&lt;=2,8, C19&lt;=5,10, C19&lt;=7,12, TRUE,"")</f>
        <v>10</v>
      </c>
      <c r="E19" s="2" t="s">
        <v>20</v>
      </c>
      <c r="F19" s="1" t="s">
        <v>21</v>
      </c>
      <c r="G19" s="2" t="str">
        <f>B19&amp;"-04.mp3"</f>
        <v>Z003-04.mp3</v>
      </c>
      <c r="H19" s="2" t="str">
        <f>B19&amp;"-04.png"</f>
        <v>Z003-04.png</v>
      </c>
      <c r="I19" s="2" t="s">
        <v>25</v>
      </c>
      <c r="J19" s="8" t="s">
        <v>52</v>
      </c>
      <c r="K19" s="8">
        <v>9</v>
      </c>
      <c r="L19" s="8">
        <v>3</v>
      </c>
    </row>
    <row r="20" spans="1:12">
      <c r="A20" s="2">
        <v>2026</v>
      </c>
      <c r="B20" s="1" t="s">
        <v>19</v>
      </c>
      <c r="C20" s="2">
        <v>5</v>
      </c>
      <c r="D20" s="2" cm="1">
        <f t="array" ref="D20">_xlfn.IFS(C20&lt;=2,8, C20&lt;=5,10, C20&lt;=7,12, TRUE,"")</f>
        <v>10</v>
      </c>
      <c r="E20" s="2" t="s">
        <v>20</v>
      </c>
      <c r="F20" s="1" t="s">
        <v>21</v>
      </c>
      <c r="G20" s="2" t="str">
        <f>B20&amp;"-05.mp3"</f>
        <v>Z003-05.mp3</v>
      </c>
      <c r="H20" s="2" t="str">
        <f>B20&amp;"-05.png"</f>
        <v>Z003-05.png</v>
      </c>
      <c r="I20" s="2" t="s">
        <v>26</v>
      </c>
      <c r="J20" s="8" t="s">
        <v>52</v>
      </c>
      <c r="K20" s="8">
        <v>7</v>
      </c>
      <c r="L20" s="8">
        <v>3</v>
      </c>
    </row>
    <row r="21" spans="1:12">
      <c r="A21" s="2">
        <v>2026</v>
      </c>
      <c r="B21" s="1" t="s">
        <v>19</v>
      </c>
      <c r="C21" s="2">
        <v>6</v>
      </c>
      <c r="D21" s="2" cm="1">
        <f t="array" ref="D21">_xlfn.IFS(C21&lt;=2,8, C21&lt;=5,10, C21&lt;=7,12, TRUE,"")</f>
        <v>12</v>
      </c>
      <c r="E21" s="2" t="s">
        <v>20</v>
      </c>
      <c r="F21" s="1" t="s">
        <v>21</v>
      </c>
      <c r="G21" s="2" t="str">
        <f>B21&amp;"-06.mp3"</f>
        <v>Z003-06.mp3</v>
      </c>
      <c r="H21" s="2" t="str">
        <f>B21&amp;"-06.png"</f>
        <v>Z003-06.png</v>
      </c>
      <c r="I21" s="2" t="s">
        <v>27</v>
      </c>
      <c r="J21" s="8" t="s">
        <v>52</v>
      </c>
      <c r="K21" s="8">
        <v>10</v>
      </c>
      <c r="L21" s="8">
        <v>4</v>
      </c>
    </row>
    <row r="22" spans="1:12">
      <c r="A22" s="2">
        <v>2026</v>
      </c>
      <c r="B22" s="1" t="s">
        <v>19</v>
      </c>
      <c r="C22" s="2">
        <v>7</v>
      </c>
      <c r="D22" s="2" cm="1">
        <f t="array" ref="D22">_xlfn.IFS(C22&lt;=2,8, C22&lt;=5,10, C22&lt;=7,12, TRUE,"")</f>
        <v>12</v>
      </c>
      <c r="E22" s="2" t="s">
        <v>20</v>
      </c>
      <c r="F22" s="1" t="s">
        <v>21</v>
      </c>
      <c r="G22" s="2" t="str">
        <f>B22&amp;"-07.mp3"</f>
        <v>Z003-07.mp3</v>
      </c>
      <c r="H22" s="2" t="str">
        <f>B22&amp;"-07.png"</f>
        <v>Z003-07.png</v>
      </c>
      <c r="I22" s="2" t="s">
        <v>28</v>
      </c>
      <c r="J22" s="8" t="s">
        <v>52</v>
      </c>
      <c r="K22" s="8">
        <v>16</v>
      </c>
      <c r="L22" s="8">
        <v>4</v>
      </c>
    </row>
    <row r="23" spans="1:12">
      <c r="A23" s="2">
        <v>2026</v>
      </c>
      <c r="B23" s="1" t="s">
        <v>29</v>
      </c>
      <c r="C23" s="2">
        <v>1</v>
      </c>
      <c r="D23" s="2" cm="1">
        <f t="array" ref="D23">_xlfn.IFS(C23&lt;=2,8, C23&lt;=5,10, C23&lt;=7,12, TRUE,"")</f>
        <v>8</v>
      </c>
      <c r="E23" s="2" t="s">
        <v>39</v>
      </c>
      <c r="F23" s="1" t="s">
        <v>30</v>
      </c>
      <c r="G23" s="2" t="str">
        <f>B23&amp;"-01.mp3"</f>
        <v>Z004-01.mp3</v>
      </c>
      <c r="H23" s="2" t="str">
        <f>B23&amp;"-01.png"</f>
        <v>Z004-01.png</v>
      </c>
      <c r="I23" s="2" t="s">
        <v>31</v>
      </c>
      <c r="J23" s="8" t="s">
        <v>52</v>
      </c>
      <c r="K23" s="8">
        <v>5</v>
      </c>
      <c r="L23" s="8">
        <v>1</v>
      </c>
    </row>
    <row r="24" spans="1:12">
      <c r="A24" s="2">
        <v>2026</v>
      </c>
      <c r="B24" s="1" t="s">
        <v>29</v>
      </c>
      <c r="C24" s="2">
        <v>2</v>
      </c>
      <c r="D24" s="2" cm="1">
        <f t="array" ref="D24">_xlfn.IFS(C24&lt;=2,8, C24&lt;=5,10, C24&lt;=7,12, TRUE,"")</f>
        <v>8</v>
      </c>
      <c r="E24" s="2" t="s">
        <v>39</v>
      </c>
      <c r="F24" s="1" t="s">
        <v>30</v>
      </c>
      <c r="G24" s="2" t="str">
        <f>B24&amp;"-02.mp3"</f>
        <v>Z004-02.mp3</v>
      </c>
      <c r="H24" s="2" t="str">
        <f>B24&amp;"-02.png"</f>
        <v>Z004-02.png</v>
      </c>
      <c r="I24" s="2" t="s">
        <v>32</v>
      </c>
      <c r="J24" s="8" t="s">
        <v>52</v>
      </c>
      <c r="K24" s="8">
        <v>8</v>
      </c>
      <c r="L24" s="8">
        <v>3</v>
      </c>
    </row>
    <row r="25" spans="1:12">
      <c r="A25" s="2">
        <v>2026</v>
      </c>
      <c r="B25" s="1" t="s">
        <v>29</v>
      </c>
      <c r="C25" s="2">
        <v>3</v>
      </c>
      <c r="D25" s="2" cm="1">
        <f t="array" ref="D25">_xlfn.IFS(C25&lt;=2,8, C25&lt;=5,10, C25&lt;=7,12, TRUE,"")</f>
        <v>10</v>
      </c>
      <c r="E25" s="2" t="s">
        <v>39</v>
      </c>
      <c r="F25" s="1" t="s">
        <v>30</v>
      </c>
      <c r="G25" s="2" t="str">
        <f>B25&amp;"-03.mp3"</f>
        <v>Z004-03.mp3</v>
      </c>
      <c r="H25" s="2" t="str">
        <f>B25&amp;"-03.png"</f>
        <v>Z004-03.png</v>
      </c>
      <c r="I25" s="2" t="s">
        <v>33</v>
      </c>
      <c r="J25" s="8" t="s">
        <v>52</v>
      </c>
      <c r="K25" s="8">
        <v>10</v>
      </c>
      <c r="L25" s="8">
        <v>3</v>
      </c>
    </row>
    <row r="26" spans="1:12">
      <c r="A26" s="2">
        <v>2026</v>
      </c>
      <c r="B26" s="1" t="s">
        <v>29</v>
      </c>
      <c r="C26" s="2">
        <v>4</v>
      </c>
      <c r="D26" s="2" cm="1">
        <f t="array" ref="D26">_xlfn.IFS(C26&lt;=2,8, C26&lt;=5,10, C26&lt;=7,12, TRUE,"")</f>
        <v>10</v>
      </c>
      <c r="E26" s="2" t="s">
        <v>39</v>
      </c>
      <c r="F26" s="1" t="s">
        <v>30</v>
      </c>
      <c r="G26" s="2" t="str">
        <f>B26&amp;"-04.mp3"</f>
        <v>Z004-04.mp3</v>
      </c>
      <c r="H26" s="2" t="str">
        <f>B26&amp;"-04.png"</f>
        <v>Z004-04.png</v>
      </c>
      <c r="I26" s="2" t="s">
        <v>34</v>
      </c>
      <c r="J26" s="8" t="s">
        <v>52</v>
      </c>
      <c r="K26" s="8">
        <v>11</v>
      </c>
      <c r="L26" s="8">
        <v>4</v>
      </c>
    </row>
    <row r="27" spans="1:12">
      <c r="A27" s="2">
        <v>2026</v>
      </c>
      <c r="B27" s="1" t="s">
        <v>29</v>
      </c>
      <c r="C27" s="2">
        <v>5</v>
      </c>
      <c r="D27" s="2" cm="1">
        <f t="array" ref="D27">_xlfn.IFS(C27&lt;=2,8, C27&lt;=5,10, C27&lt;=7,12, TRUE,"")</f>
        <v>10</v>
      </c>
      <c r="E27" s="2" t="s">
        <v>39</v>
      </c>
      <c r="F27" s="1" t="s">
        <v>30</v>
      </c>
      <c r="G27" s="2" t="str">
        <f>B27&amp;"-05.mp3"</f>
        <v>Z004-05.mp3</v>
      </c>
      <c r="H27" s="2" t="str">
        <f>B27&amp;"-05.png"</f>
        <v>Z004-05.png</v>
      </c>
      <c r="I27" s="2" t="s">
        <v>35</v>
      </c>
      <c r="J27" s="8" t="s">
        <v>54</v>
      </c>
      <c r="K27" s="8">
        <v>13</v>
      </c>
      <c r="L27" s="8">
        <v>5</v>
      </c>
    </row>
    <row r="28" spans="1:12">
      <c r="A28" s="2">
        <v>2026</v>
      </c>
      <c r="B28" s="1" t="s">
        <v>29</v>
      </c>
      <c r="C28" s="2">
        <v>6</v>
      </c>
      <c r="D28" s="2" cm="1">
        <f t="array" ref="D28">_xlfn.IFS(C28&lt;=2,8, C28&lt;=5,10, C28&lt;=7,12, TRUE,"")</f>
        <v>12</v>
      </c>
      <c r="E28" s="2" t="s">
        <v>39</v>
      </c>
      <c r="F28" s="1" t="s">
        <v>30</v>
      </c>
      <c r="G28" s="2" t="str">
        <f>B28&amp;"-06.mp3"</f>
        <v>Z004-06.mp3</v>
      </c>
      <c r="H28" s="2" t="str">
        <f>B28&amp;"-06.png"</f>
        <v>Z004-06.png</v>
      </c>
      <c r="I28" s="2" t="s">
        <v>36</v>
      </c>
      <c r="J28" s="8" t="s">
        <v>53</v>
      </c>
      <c r="K28" s="8">
        <v>12</v>
      </c>
      <c r="L28" s="8">
        <v>4</v>
      </c>
    </row>
    <row r="29" spans="1:12">
      <c r="A29" s="2">
        <v>2026</v>
      </c>
      <c r="B29" s="1" t="s">
        <v>29</v>
      </c>
      <c r="C29" s="2">
        <v>7</v>
      </c>
      <c r="D29" s="2" cm="1">
        <f t="array" ref="D29">_xlfn.IFS(C29&lt;=2,8, C29&lt;=5,10, C29&lt;=7,12, TRUE,"")</f>
        <v>12</v>
      </c>
      <c r="E29" s="2" t="s">
        <v>39</v>
      </c>
      <c r="F29" s="1" t="s">
        <v>30</v>
      </c>
      <c r="G29" s="2" t="str">
        <f>B29&amp;"-07.mp3"</f>
        <v>Z004-07.mp3</v>
      </c>
      <c r="H29" s="2" t="str">
        <f>B29&amp;"-07.png"</f>
        <v>Z004-07.png</v>
      </c>
      <c r="I29" s="2" t="s">
        <v>37</v>
      </c>
      <c r="J29" s="8" t="s">
        <v>53</v>
      </c>
      <c r="K29" s="8">
        <v>18</v>
      </c>
      <c r="L29" s="8">
        <v>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Coo</dc:creator>
  <cp:lastModifiedBy>Coo</cp:lastModifiedBy>
  <dcterms:created xsi:type="dcterms:W3CDTF">2026-02-05T06:17:46Z</dcterms:created>
  <dcterms:modified xsi:type="dcterms:W3CDTF">2026-02-05T09:36:03Z</dcterms:modified>
</cp:coreProperties>
</file>